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9157\OneDrive\Desktop\Protokolle\PC2\Diff\DIFF\KCl\"/>
    </mc:Choice>
  </mc:AlternateContent>
  <xr:revisionPtr revIDLastSave="0" documentId="13_ncr:1_{82F34E8F-96DC-40C1-9D99-48E2982F46AD}" xr6:coauthVersionLast="47" xr6:coauthVersionMax="47" xr10:uidLastSave="{00000000-0000-0000-0000-000000000000}"/>
  <bookViews>
    <workbookView xWindow="-110" yWindow="-110" windowWidth="19420" windowHeight="10420" xr2:uid="{D3D6A022-5070-4B86-8350-B65243CB1488}"/>
  </bookViews>
  <sheets>
    <sheet name="Differenz_Spline_Linear_KC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 a="1"/>
  <c r="H2" i="1" s="1"/>
  <c r="G2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<sst xmlns="http://schemas.openxmlformats.org/spreadsheetml/2006/main" count="27" uniqueCount="27">
  <si>
    <t>Datei</t>
  </si>
  <si>
    <t>time min</t>
  </si>
  <si>
    <t>time s</t>
  </si>
  <si>
    <t>Delta_y</t>
  </si>
  <si>
    <t>Z</t>
  </si>
  <si>
    <t>KCl00001.dat</t>
  </si>
  <si>
    <t>KCl00002.dat</t>
  </si>
  <si>
    <t>KCl00003.dat</t>
  </si>
  <si>
    <t>KCl00004.dat</t>
  </si>
  <si>
    <t>KCl00005.dat</t>
  </si>
  <si>
    <t>KCl00006.dat</t>
  </si>
  <si>
    <t>KCl00007.dat</t>
  </si>
  <si>
    <t>KCl00008.dat</t>
  </si>
  <si>
    <t>KCl00009.dat</t>
  </si>
  <si>
    <t>KCl00010.dat</t>
  </si>
  <si>
    <t>KCl00011.dat</t>
  </si>
  <si>
    <t>KCl00012.dat</t>
  </si>
  <si>
    <t>KCl00013.dat</t>
  </si>
  <si>
    <t>KCl00014.dat</t>
  </si>
  <si>
    <t>KCl00015.dat</t>
  </si>
  <si>
    <t>KCl00016.dat</t>
  </si>
  <si>
    <t>KCl00017.dat</t>
  </si>
  <si>
    <t>KCl00018.dat</t>
  </si>
  <si>
    <t>KCl00019.dat</t>
  </si>
  <si>
    <t>KCl00020.dat</t>
  </si>
  <si>
    <t>KCl00021.dat</t>
  </si>
  <si>
    <t>KCl00022.dat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</si>
</sst>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25962379702537"/>
                  <c:y val="-5.4476550708297725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 marL="0" marR="0" lvl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900" b="0" i="0" u="none" strike="noStrike" kern="1200" baseline="0">
                        <a:solidFill>
                          <a:sysClr val="windowText" lastClr="000000">
                            <a:lumMod val="65000"/>
                            <a:lumOff val="35000"/>
                          </a:sys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de-DE" sz="900" b="0" i="0" u="none" strike="noStrike" baseline="0">
                        <a:effectLst/>
                      </a:rPr>
                      <a:t>Z</a:t>
                    </a:r>
                    <a:r>
                      <a:rPr lang="de-DE" sz="900" b="0" i="0" u="none" strike="noStrike" baseline="30000">
                        <a:effectLst/>
                      </a:rPr>
                      <a:t>-2</a:t>
                    </a:r>
                    <a:r>
                      <a:rPr lang="en-US" baseline="0"/>
                      <a:t> = 26.077t + 3751.7</a:t>
                    </a:r>
                    <a:br>
                      <a:rPr lang="en-US" baseline="0"/>
                    </a:br>
                    <a:r>
                      <a:rPr lang="en-US" baseline="0"/>
                      <a:t>R² = 0.9858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 marL="0" marR="0" lvl="0" indent="0" algn="ctr" defTabSz="914400" rtl="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 sz="900" b="0" i="0" u="none" strike="noStrike" kern="1200" baseline="0">
                      <a:solidFill>
                        <a:sysClr val="windowText" lastClr="000000">
                          <a:lumMod val="65000"/>
                          <a:lumOff val="3500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Differenz_Spline_Linear_KCl!$C$2:$C$23</c:f>
              <c:numCache>
                <c:formatCode>General</c:formatCode>
                <c:ptCount val="22"/>
                <c:pt idx="0">
                  <c:v>0</c:v>
                </c:pt>
                <c:pt idx="1">
                  <c:v>30</c:v>
                </c:pt>
                <c:pt idx="2">
                  <c:v>60</c:v>
                </c:pt>
                <c:pt idx="3">
                  <c:v>90</c:v>
                </c:pt>
                <c:pt idx="4">
                  <c:v>120</c:v>
                </c:pt>
                <c:pt idx="5">
                  <c:v>150</c:v>
                </c:pt>
                <c:pt idx="6">
                  <c:v>180</c:v>
                </c:pt>
                <c:pt idx="7">
                  <c:v>210</c:v>
                </c:pt>
                <c:pt idx="8">
                  <c:v>240</c:v>
                </c:pt>
                <c:pt idx="9">
                  <c:v>270</c:v>
                </c:pt>
                <c:pt idx="10">
                  <c:v>300</c:v>
                </c:pt>
                <c:pt idx="11">
                  <c:v>330</c:v>
                </c:pt>
                <c:pt idx="12">
                  <c:v>360</c:v>
                </c:pt>
                <c:pt idx="13">
                  <c:v>420</c:v>
                </c:pt>
                <c:pt idx="14">
                  <c:v>480</c:v>
                </c:pt>
                <c:pt idx="15">
                  <c:v>540</c:v>
                </c:pt>
                <c:pt idx="16">
                  <c:v>600</c:v>
                </c:pt>
                <c:pt idx="17">
                  <c:v>660</c:v>
                </c:pt>
                <c:pt idx="18">
                  <c:v>720</c:v>
                </c:pt>
                <c:pt idx="19">
                  <c:v>780</c:v>
                </c:pt>
                <c:pt idx="20">
                  <c:v>840</c:v>
                </c:pt>
                <c:pt idx="21">
                  <c:v>900</c:v>
                </c:pt>
              </c:numCache>
            </c:numRef>
          </c:xVal>
          <c:yVal>
            <c:numRef>
              <c:f>Differenz_Spline_Linear_KCl!$G$2:$G$23</c:f>
              <c:numCache>
                <c:formatCode>General</c:formatCode>
                <c:ptCount val="22"/>
                <c:pt idx="0">
                  <c:v>4092.2471435153916</c:v>
                </c:pt>
                <c:pt idx="1">
                  <c:v>4915.0054996290728</c:v>
                </c:pt>
                <c:pt idx="2">
                  <c:v>5482.0507361067066</c:v>
                </c:pt>
                <c:pt idx="3">
                  <c:v>6729.3335128005037</c:v>
                </c:pt>
                <c:pt idx="4">
                  <c:v>7169.8102061668069</c:v>
                </c:pt>
                <c:pt idx="5">
                  <c:v>7606.6941011453673</c:v>
                </c:pt>
                <c:pt idx="6">
                  <c:v>8942.6828554119002</c:v>
                </c:pt>
                <c:pt idx="7">
                  <c:v>9487.7384859214944</c:v>
                </c:pt>
                <c:pt idx="8">
                  <c:v>10236.224071233439</c:v>
                </c:pt>
                <c:pt idx="9">
                  <c:v>10961.622967564945</c:v>
                </c:pt>
                <c:pt idx="10">
                  <c:v>10698.022530915938</c:v>
                </c:pt>
                <c:pt idx="11">
                  <c:v>12412.225203152298</c:v>
                </c:pt>
                <c:pt idx="12">
                  <c:v>11890.370053572895</c:v>
                </c:pt>
                <c:pt idx="13">
                  <c:v>14526.705036595726</c:v>
                </c:pt>
                <c:pt idx="14">
                  <c:v>15591.461034133614</c:v>
                </c:pt>
                <c:pt idx="15">
                  <c:v>16442.663080318012</c:v>
                </c:pt>
                <c:pt idx="16">
                  <c:v>19468.169650873897</c:v>
                </c:pt>
                <c:pt idx="17">
                  <c:v>20369.522649762126</c:v>
                </c:pt>
                <c:pt idx="18">
                  <c:v>22635.089449740775</c:v>
                </c:pt>
                <c:pt idx="19">
                  <c:v>23136.261341394711</c:v>
                </c:pt>
                <c:pt idx="20">
                  <c:v>25515.384206862214</c:v>
                </c:pt>
                <c:pt idx="21">
                  <c:v>30145.349029930785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34-437D-ADAB-BAEC39ED8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3083039"/>
        <c:axId val="1613063359"/>
      </c:scatterChart>
      <c:valAx>
        <c:axId val="1613083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time /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13063359"/>
        <c:crosses val="autoZero"/>
        <c:crossBetween val="midCat"/>
      </c:valAx>
      <c:valAx>
        <c:axId val="16130633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Z</a:t>
                </a:r>
                <a:r>
                  <a:rPr lang="de-DE" sz="1000" b="0" i="0" u="none" strike="noStrike" kern="1200" baseline="30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-2</a:t>
                </a: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 / m</a:t>
                </a:r>
                <a:r>
                  <a:rPr lang="de-DE" sz="1000" b="0" i="0" u="none" strike="noStrike" kern="1200" baseline="30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-2</a:t>
                </a:r>
                <a:endParaRPr lang="de-DE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1308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25400</xdr:colOff>
      <xdr:row>3</xdr:row>
      <xdr:rowOff>26987</xdr:rowOff>
    </xdr:from>
    <xdr:to>
      <xdr:col>16</xdr:col>
      <xdr:colOff>25400</xdr:colOff>
      <xdr:row>18</xdr:row>
      <xdr:rowOff>68262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7911E67-A4AE-4DB8-5B47-26FE99BBB5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28A7E-01B9-4193-9EC0-FEE2421D8EFF}">
  <dimension ref="A1:I26"/>
  <sheetViews>
    <sheetView tabSelected="1" workbookViewId="0">
      <selection activeCell="H2" sqref="H2"/>
    </sheetView>
  </sheetViews>
  <sheetFormatPr baseColWidth="10" defaultRowHeight="14.5" x14ac:dyDescent="0.35"/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9" x14ac:dyDescent="0.35">
      <c r="A2" t="s">
        <v>5</v>
      </c>
      <c r="B2">
        <v>0</v>
      </c>
      <c r="C2">
        <v>0</v>
      </c>
      <c r="D2">
        <v>112.46160380000001</v>
      </c>
      <c r="E2">
        <f>D2*0.139</f>
        <v>15.632162928200001</v>
      </c>
      <c r="F2">
        <f>E2/1000</f>
        <v>1.5632162928200001E-2</v>
      </c>
      <c r="G2">
        <f>F2^-2</f>
        <v>4092.2471435153916</v>
      </c>
      <c r="H2" cm="1">
        <f t="array" ref="H2:I6">LINEST(G2:G23, C2:C23, TRUE, TRUE)</f>
        <v>26.077084411122808</v>
      </c>
      <c r="I2">
        <v>3751.6533601205356</v>
      </c>
    </row>
    <row r="3" spans="1:9" x14ac:dyDescent="0.35">
      <c r="A3" t="s">
        <v>6</v>
      </c>
      <c r="B3">
        <v>0.5</v>
      </c>
      <c r="C3">
        <v>30</v>
      </c>
      <c r="D3">
        <v>102.61791719999999</v>
      </c>
      <c r="E3">
        <f t="shared" ref="E3:E23" si="0">D3*0.139</f>
        <v>14.2638904908</v>
      </c>
      <c r="F3">
        <f t="shared" ref="F3:F23" si="1">E3/1000</f>
        <v>1.4263890490799999E-2</v>
      </c>
      <c r="G3">
        <f t="shared" ref="G3:G23" si="2">F3^-2</f>
        <v>4915.0054996290728</v>
      </c>
      <c r="H3">
        <v>0.70102274525477681</v>
      </c>
      <c r="I3">
        <v>324.75523957182361</v>
      </c>
    </row>
    <row r="4" spans="1:9" x14ac:dyDescent="0.35">
      <c r="A4" t="s">
        <v>7</v>
      </c>
      <c r="B4">
        <v>1</v>
      </c>
      <c r="C4">
        <v>60</v>
      </c>
      <c r="D4">
        <v>97.165854530000004</v>
      </c>
      <c r="E4">
        <f t="shared" si="0"/>
        <v>13.506053779670001</v>
      </c>
      <c r="F4">
        <f t="shared" si="1"/>
        <v>1.3506053779670001E-2</v>
      </c>
      <c r="G4">
        <f t="shared" si="2"/>
        <v>5482.0507361067066</v>
      </c>
      <c r="H4">
        <v>0.98575232633865517</v>
      </c>
      <c r="I4">
        <v>888.14604558639473</v>
      </c>
    </row>
    <row r="5" spans="1:9" x14ac:dyDescent="0.35">
      <c r="A5" t="s">
        <v>8</v>
      </c>
      <c r="B5">
        <v>1.5</v>
      </c>
      <c r="C5">
        <v>90</v>
      </c>
      <c r="D5">
        <v>87.699915169999997</v>
      </c>
      <c r="E5">
        <f t="shared" si="0"/>
        <v>12.190288208630001</v>
      </c>
      <c r="F5">
        <f t="shared" si="1"/>
        <v>1.2190288208630001E-2</v>
      </c>
      <c r="G5">
        <f t="shared" si="2"/>
        <v>6729.3335128005037</v>
      </c>
      <c r="H5">
        <v>1383.7379347241676</v>
      </c>
      <c r="I5">
        <v>20</v>
      </c>
    </row>
    <row r="6" spans="1:9" x14ac:dyDescent="0.35">
      <c r="A6" t="s">
        <v>9</v>
      </c>
      <c r="B6">
        <v>2</v>
      </c>
      <c r="C6">
        <v>120</v>
      </c>
      <c r="D6">
        <v>84.963299570000004</v>
      </c>
      <c r="E6">
        <f t="shared" si="0"/>
        <v>11.809898640230001</v>
      </c>
      <c r="F6">
        <f t="shared" si="1"/>
        <v>1.180989864023E-2</v>
      </c>
      <c r="G6">
        <f t="shared" si="2"/>
        <v>7169.8102061668069</v>
      </c>
      <c r="H6">
        <v>1091497185.2542479</v>
      </c>
      <c r="I6">
        <v>15776067.965815008</v>
      </c>
    </row>
    <row r="7" spans="1:9" x14ac:dyDescent="0.35">
      <c r="A7" t="s">
        <v>10</v>
      </c>
      <c r="B7">
        <v>2.5</v>
      </c>
      <c r="C7">
        <v>150</v>
      </c>
      <c r="D7">
        <v>82.487325740000003</v>
      </c>
      <c r="E7">
        <f t="shared" si="0"/>
        <v>11.465738277860002</v>
      </c>
      <c r="F7">
        <f t="shared" si="1"/>
        <v>1.1465738277860002E-2</v>
      </c>
      <c r="G7">
        <f t="shared" si="2"/>
        <v>7606.6941011453673</v>
      </c>
    </row>
    <row r="8" spans="1:9" x14ac:dyDescent="0.35">
      <c r="A8" t="s">
        <v>11</v>
      </c>
      <c r="B8">
        <v>3</v>
      </c>
      <c r="C8">
        <v>180</v>
      </c>
      <c r="D8">
        <v>76.076633319999999</v>
      </c>
      <c r="E8">
        <f t="shared" si="0"/>
        <v>10.574652031480001</v>
      </c>
      <c r="F8">
        <f t="shared" si="1"/>
        <v>1.0574652031480001E-2</v>
      </c>
      <c r="G8">
        <f t="shared" si="2"/>
        <v>8942.6828554119002</v>
      </c>
    </row>
    <row r="9" spans="1:9" x14ac:dyDescent="0.35">
      <c r="A9" t="s">
        <v>12</v>
      </c>
      <c r="B9">
        <v>3.5</v>
      </c>
      <c r="C9">
        <v>210</v>
      </c>
      <c r="D9">
        <v>73.859072049999995</v>
      </c>
      <c r="E9">
        <f t="shared" si="0"/>
        <v>10.26641101495</v>
      </c>
      <c r="F9">
        <f t="shared" si="1"/>
        <v>1.0266411014950001E-2</v>
      </c>
      <c r="G9">
        <f t="shared" si="2"/>
        <v>9487.7384859214944</v>
      </c>
    </row>
    <row r="10" spans="1:9" x14ac:dyDescent="0.35">
      <c r="A10" t="s">
        <v>13</v>
      </c>
      <c r="B10">
        <v>4</v>
      </c>
      <c r="C10">
        <v>240</v>
      </c>
      <c r="D10">
        <v>71.107483259999995</v>
      </c>
      <c r="E10">
        <f t="shared" si="0"/>
        <v>9.883940173140001</v>
      </c>
      <c r="F10">
        <f t="shared" si="1"/>
        <v>9.8839401731400014E-3</v>
      </c>
      <c r="G10">
        <f t="shared" si="2"/>
        <v>10236.224071233439</v>
      </c>
    </row>
    <row r="11" spans="1:9" x14ac:dyDescent="0.35">
      <c r="A11" t="s">
        <v>14</v>
      </c>
      <c r="B11">
        <v>4.5</v>
      </c>
      <c r="C11">
        <v>270</v>
      </c>
      <c r="D11">
        <v>68.71440174</v>
      </c>
      <c r="E11">
        <f t="shared" si="0"/>
        <v>9.5513018418600009</v>
      </c>
      <c r="F11">
        <f t="shared" si="1"/>
        <v>9.55130184186E-3</v>
      </c>
      <c r="G11">
        <f t="shared" si="2"/>
        <v>10961.622967564945</v>
      </c>
    </row>
    <row r="12" spans="1:9" x14ac:dyDescent="0.35">
      <c r="A12" t="s">
        <v>15</v>
      </c>
      <c r="B12">
        <v>5</v>
      </c>
      <c r="C12">
        <v>300</v>
      </c>
      <c r="D12">
        <v>69.55581531</v>
      </c>
      <c r="E12">
        <f t="shared" si="0"/>
        <v>9.6682583280900012</v>
      </c>
      <c r="F12">
        <f t="shared" si="1"/>
        <v>9.6682583280900004E-3</v>
      </c>
      <c r="G12">
        <f t="shared" si="2"/>
        <v>10698.022530915938</v>
      </c>
    </row>
    <row r="13" spans="1:9" x14ac:dyDescent="0.35">
      <c r="A13" t="s">
        <v>16</v>
      </c>
      <c r="B13">
        <v>5.5</v>
      </c>
      <c r="C13">
        <v>330</v>
      </c>
      <c r="D13">
        <v>64.574399529999994</v>
      </c>
      <c r="E13">
        <f t="shared" si="0"/>
        <v>8.9758415346699998</v>
      </c>
      <c r="F13">
        <f t="shared" si="1"/>
        <v>8.9758415346699993E-3</v>
      </c>
      <c r="G13">
        <f t="shared" si="2"/>
        <v>12412.225203152298</v>
      </c>
    </row>
    <row r="14" spans="1:9" x14ac:dyDescent="0.35">
      <c r="A14" t="s">
        <v>17</v>
      </c>
      <c r="B14">
        <v>6</v>
      </c>
      <c r="C14">
        <v>360</v>
      </c>
      <c r="D14">
        <v>65.976232839999994</v>
      </c>
      <c r="E14">
        <f t="shared" si="0"/>
        <v>9.1706963647599995</v>
      </c>
      <c r="F14">
        <f t="shared" si="1"/>
        <v>9.170696364759999E-3</v>
      </c>
      <c r="G14">
        <f t="shared" si="2"/>
        <v>11890.370053572895</v>
      </c>
    </row>
    <row r="15" spans="1:9" x14ac:dyDescent="0.35">
      <c r="A15" t="s">
        <v>18</v>
      </c>
      <c r="B15">
        <v>7</v>
      </c>
      <c r="C15">
        <v>420</v>
      </c>
      <c r="D15">
        <v>59.690008480000003</v>
      </c>
      <c r="E15">
        <f t="shared" si="0"/>
        <v>8.2969111787200003</v>
      </c>
      <c r="F15">
        <f t="shared" si="1"/>
        <v>8.2969111787199994E-3</v>
      </c>
      <c r="G15">
        <f t="shared" si="2"/>
        <v>14526.705036595726</v>
      </c>
    </row>
    <row r="16" spans="1:9" x14ac:dyDescent="0.35">
      <c r="A16" t="s">
        <v>19</v>
      </c>
      <c r="B16">
        <v>8</v>
      </c>
      <c r="C16">
        <v>480</v>
      </c>
      <c r="D16">
        <v>57.615826060000003</v>
      </c>
      <c r="E16">
        <f t="shared" si="0"/>
        <v>8.0085998223400008</v>
      </c>
      <c r="F16">
        <f t="shared" si="1"/>
        <v>8.0085998223400016E-3</v>
      </c>
      <c r="G16">
        <f t="shared" si="2"/>
        <v>15591.461034133614</v>
      </c>
    </row>
    <row r="17" spans="1:7" x14ac:dyDescent="0.35">
      <c r="A17" t="s">
        <v>20</v>
      </c>
      <c r="B17">
        <v>9</v>
      </c>
      <c r="C17">
        <v>540</v>
      </c>
      <c r="D17">
        <v>56.104684020000001</v>
      </c>
      <c r="E17">
        <f t="shared" si="0"/>
        <v>7.798551078780001</v>
      </c>
      <c r="F17">
        <f t="shared" si="1"/>
        <v>7.7985510787800007E-3</v>
      </c>
      <c r="G17">
        <f t="shared" si="2"/>
        <v>16442.663080318012</v>
      </c>
    </row>
    <row r="18" spans="1:7" x14ac:dyDescent="0.35">
      <c r="A18" t="s">
        <v>21</v>
      </c>
      <c r="B18">
        <v>10</v>
      </c>
      <c r="C18">
        <v>600</v>
      </c>
      <c r="D18">
        <v>51.561155169999999</v>
      </c>
      <c r="E18">
        <f t="shared" si="0"/>
        <v>7.1670005686300007</v>
      </c>
      <c r="F18">
        <f t="shared" si="1"/>
        <v>7.1670005686300005E-3</v>
      </c>
      <c r="G18">
        <f t="shared" si="2"/>
        <v>19468.169650873897</v>
      </c>
    </row>
    <row r="19" spans="1:7" x14ac:dyDescent="0.35">
      <c r="A19" t="s">
        <v>22</v>
      </c>
      <c r="B19">
        <v>11</v>
      </c>
      <c r="C19">
        <v>660</v>
      </c>
      <c r="D19">
        <v>50.407455329999998</v>
      </c>
      <c r="E19">
        <f t="shared" si="0"/>
        <v>7.0066362908700004</v>
      </c>
      <c r="F19">
        <f t="shared" si="1"/>
        <v>7.0066362908700001E-3</v>
      </c>
      <c r="G19">
        <f t="shared" si="2"/>
        <v>20369.522649762126</v>
      </c>
    </row>
    <row r="20" spans="1:7" x14ac:dyDescent="0.35">
      <c r="A20" t="s">
        <v>23</v>
      </c>
      <c r="B20">
        <v>12</v>
      </c>
      <c r="C20">
        <v>720</v>
      </c>
      <c r="D20">
        <v>47.818295579999997</v>
      </c>
      <c r="E20">
        <f t="shared" si="0"/>
        <v>6.6467430856199998</v>
      </c>
      <c r="F20">
        <f t="shared" si="1"/>
        <v>6.6467430856199999E-3</v>
      </c>
      <c r="G20">
        <f t="shared" si="2"/>
        <v>22635.089449740775</v>
      </c>
    </row>
    <row r="21" spans="1:7" x14ac:dyDescent="0.35">
      <c r="A21" t="s">
        <v>24</v>
      </c>
      <c r="B21">
        <v>13</v>
      </c>
      <c r="C21">
        <v>780</v>
      </c>
      <c r="D21">
        <v>47.297546089999997</v>
      </c>
      <c r="E21">
        <f t="shared" si="0"/>
        <v>6.5743589065100005</v>
      </c>
      <c r="F21">
        <f t="shared" si="1"/>
        <v>6.5743589065100005E-3</v>
      </c>
      <c r="G21">
        <f t="shared" si="2"/>
        <v>23136.261341394711</v>
      </c>
    </row>
    <row r="22" spans="1:7" x14ac:dyDescent="0.35">
      <c r="A22" t="s">
        <v>25</v>
      </c>
      <c r="B22">
        <v>14</v>
      </c>
      <c r="C22">
        <v>840</v>
      </c>
      <c r="D22">
        <v>45.038523400000003</v>
      </c>
      <c r="E22">
        <f t="shared" si="0"/>
        <v>6.2603547526000005</v>
      </c>
      <c r="F22">
        <f t="shared" si="1"/>
        <v>6.2603547526000006E-3</v>
      </c>
      <c r="G22">
        <f t="shared" si="2"/>
        <v>25515.384206862214</v>
      </c>
    </row>
    <row r="23" spans="1:7" x14ac:dyDescent="0.35">
      <c r="A23" t="s">
        <v>26</v>
      </c>
      <c r="B23">
        <v>15</v>
      </c>
      <c r="C23">
        <v>900</v>
      </c>
      <c r="D23">
        <v>41.435734480000001</v>
      </c>
      <c r="E23">
        <f t="shared" si="0"/>
        <v>5.7595670927200002</v>
      </c>
      <c r="F23">
        <f t="shared" si="1"/>
        <v>5.7595670927200002E-3</v>
      </c>
      <c r="G23">
        <f t="shared" si="2"/>
        <v>30145.349029930785</v>
      </c>
    </row>
    <row r="26" spans="1:7" x14ac:dyDescent="0.35">
      <c r="G26">
        <f>SLOPE(G2:G23,C2:C23)</f>
        <v>26.077084411122804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Differenz_Spline_Linear_KCl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Brügger</dc:creator>
  <cp:lastModifiedBy>Julian Bruegger</cp:lastModifiedBy>
  <dcterms:created xsi:type="dcterms:W3CDTF">2026-01-19T20:39:13Z</dcterms:created>
  <dcterms:modified xsi:type="dcterms:W3CDTF">2026-01-21T07:19:15Z</dcterms:modified>
</cp:coreProperties>
</file>