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9157\OneDrive\Desktop\Protokolle\PC2\Diff\DIFF\ZnSO4\"/>
    </mc:Choice>
  </mc:AlternateContent>
  <xr:revisionPtr revIDLastSave="0" documentId="13_ncr:1_{957C97BF-B4F2-4B48-B89E-1218E76E9AA5}" xr6:coauthVersionLast="47" xr6:coauthVersionMax="47" xr10:uidLastSave="{00000000-0000-0000-0000-000000000000}"/>
  <bookViews>
    <workbookView xWindow="-110" yWindow="-110" windowWidth="19420" windowHeight="10420" xr2:uid="{AB37D8BF-2196-43B1-961C-DF9440D73305}"/>
  </bookViews>
  <sheets>
    <sheet name="Differenz_Spline_Line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" l="1"/>
  <c r="H2" i="1" a="1"/>
  <c r="H2" i="1" s="1"/>
  <c r="G2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F44" i="1" s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F2" i="1"/>
  <c r="E2" i="1"/>
  <c r="G3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<sst xmlns="http://schemas.openxmlformats.org/spreadsheetml/2006/main" count="43" uniqueCount="43">
  <si>
    <t>Datei</t>
  </si>
  <si>
    <t>Delta_y</t>
  </si>
  <si>
    <t>znso4_ (1).dat</t>
  </si>
  <si>
    <t>znso4_ (10).dat</t>
  </si>
  <si>
    <t>znso4_ (11).dat</t>
  </si>
  <si>
    <t>znso4_ (12).dat</t>
  </si>
  <si>
    <t>znso4_ (13).dat</t>
  </si>
  <si>
    <t>znso4_ (14).dat</t>
  </si>
  <si>
    <t>znso4_ (15).dat</t>
  </si>
  <si>
    <t>znso4_ (16).dat</t>
  </si>
  <si>
    <t>znso4_ (17).dat</t>
  </si>
  <si>
    <t>znso4_ (18).dat</t>
  </si>
  <si>
    <t>znso4_ (19).dat</t>
  </si>
  <si>
    <t>znso4_ (2).dat</t>
  </si>
  <si>
    <t>znso4_ (20).dat</t>
  </si>
  <si>
    <t>znso4_ (21).dat</t>
  </si>
  <si>
    <t>znso4_ (22).dat</t>
  </si>
  <si>
    <t>znso4_ (23).dat</t>
  </si>
  <si>
    <t>znso4_ (24).dat</t>
  </si>
  <si>
    <t>znso4_ (25).dat</t>
  </si>
  <si>
    <t>znso4_ (26).dat</t>
  </si>
  <si>
    <t>znso4_ (27).dat</t>
  </si>
  <si>
    <t>znso4_ (28).dat</t>
  </si>
  <si>
    <t>znso4_ (29).dat</t>
  </si>
  <si>
    <t>znso4_ (3).dat</t>
  </si>
  <si>
    <t>znso4_ (30).dat</t>
  </si>
  <si>
    <t>znso4_ (31).dat</t>
  </si>
  <si>
    <t>znso4_ (32).dat</t>
  </si>
  <si>
    <t>znso4_ (33).dat</t>
  </si>
  <si>
    <t>znso4_ (34).dat</t>
  </si>
  <si>
    <t>znso4_ (35).dat</t>
  </si>
  <si>
    <t>znso4_ (36).dat</t>
  </si>
  <si>
    <t>znso4_ (37).dat</t>
  </si>
  <si>
    <t>znso4_ (38).dat</t>
  </si>
  <si>
    <t>znso4_ (4).dat</t>
  </si>
  <si>
    <t>znso4_ (5).dat</t>
  </si>
  <si>
    <t>znso4_ (6).dat</t>
  </si>
  <si>
    <t>znso4_ (7).dat</t>
  </si>
  <si>
    <t>znso4_ (8).dat</t>
  </si>
  <si>
    <t>znso4_ (9).dat</t>
  </si>
  <si>
    <t>z / mm</t>
  </si>
  <si>
    <t>z/ mm</t>
  </si>
  <si>
    <t>z^-2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</si>
</sst>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2826574803149605"/>
                  <c:y val="4.2402826855123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 marL="0" marR="0" lvl="0" indent="0" algn="ctr" defTabSz="914400" rtl="0" eaLnBrk="1" fontAlgn="auto" latinLnBrk="0" hangingPunct="1">
                    <a:lnSpc>
                      <a:spcPct val="100000"/>
                    </a:lnSpc>
                    <a:spcBef>
                      <a:spcPts val="0"/>
                    </a:spcBef>
                    <a:spcAft>
                      <a:spcPts val="0"/>
                    </a:spcAft>
                    <a:buClrTx/>
                    <a:buSzTx/>
                    <a:buFontTx/>
                    <a:buNone/>
                    <a:tabLst/>
                    <a:defRPr sz="900" b="0" i="0" u="none" strike="noStrike" kern="1200" baseline="0">
                      <a:solidFill>
                        <a:sysClr val="windowText" lastClr="000000">
                          <a:lumMod val="65000"/>
                          <a:lumOff val="35000"/>
                        </a:sys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Differenz_Spline_Linear!$C$17:$C$38</c:f>
              <c:numCache>
                <c:formatCode>General</c:formatCode>
                <c:ptCount val="22"/>
                <c:pt idx="0">
                  <c:v>480</c:v>
                </c:pt>
                <c:pt idx="1">
                  <c:v>540</c:v>
                </c:pt>
                <c:pt idx="2">
                  <c:v>600</c:v>
                </c:pt>
                <c:pt idx="3">
                  <c:v>660</c:v>
                </c:pt>
                <c:pt idx="4">
                  <c:v>720</c:v>
                </c:pt>
                <c:pt idx="5">
                  <c:v>780</c:v>
                </c:pt>
                <c:pt idx="6">
                  <c:v>840</c:v>
                </c:pt>
                <c:pt idx="7">
                  <c:v>900</c:v>
                </c:pt>
                <c:pt idx="8">
                  <c:v>960</c:v>
                </c:pt>
                <c:pt idx="9">
                  <c:v>1020</c:v>
                </c:pt>
                <c:pt idx="10">
                  <c:v>1080</c:v>
                </c:pt>
                <c:pt idx="11">
                  <c:v>1140</c:v>
                </c:pt>
                <c:pt idx="12">
                  <c:v>1200</c:v>
                </c:pt>
                <c:pt idx="13">
                  <c:v>1260</c:v>
                </c:pt>
                <c:pt idx="14">
                  <c:v>1320</c:v>
                </c:pt>
                <c:pt idx="15">
                  <c:v>1380</c:v>
                </c:pt>
                <c:pt idx="16">
                  <c:v>1440</c:v>
                </c:pt>
                <c:pt idx="17">
                  <c:v>1500</c:v>
                </c:pt>
                <c:pt idx="18">
                  <c:v>1560</c:v>
                </c:pt>
                <c:pt idx="19">
                  <c:v>1620</c:v>
                </c:pt>
                <c:pt idx="20">
                  <c:v>1680</c:v>
                </c:pt>
                <c:pt idx="21">
                  <c:v>1740</c:v>
                </c:pt>
              </c:numCache>
            </c:numRef>
          </c:xVal>
          <c:yVal>
            <c:numRef>
              <c:f>Differenz_Spline_Linear!$G$17:$G$38</c:f>
              <c:numCache>
                <c:formatCode>General</c:formatCode>
                <c:ptCount val="22"/>
                <c:pt idx="0">
                  <c:v>234.35602906193063</c:v>
                </c:pt>
                <c:pt idx="1">
                  <c:v>240.81999991558055</c:v>
                </c:pt>
                <c:pt idx="2">
                  <c:v>259.45141724307297</c:v>
                </c:pt>
                <c:pt idx="3">
                  <c:v>259.82061833967992</c:v>
                </c:pt>
                <c:pt idx="4">
                  <c:v>292.44627059640811</c:v>
                </c:pt>
                <c:pt idx="5">
                  <c:v>303.22716519162793</c:v>
                </c:pt>
                <c:pt idx="6">
                  <c:v>311.69300929985781</c:v>
                </c:pt>
                <c:pt idx="7">
                  <c:v>325.13261526910247</c:v>
                </c:pt>
                <c:pt idx="8">
                  <c:v>355.86747474255878</c:v>
                </c:pt>
                <c:pt idx="9">
                  <c:v>377.91617032563988</c:v>
                </c:pt>
                <c:pt idx="10">
                  <c:v>395.8618670742552</c:v>
                </c:pt>
                <c:pt idx="11">
                  <c:v>433.33071109761966</c:v>
                </c:pt>
                <c:pt idx="12">
                  <c:v>462.61183038380619</c:v>
                </c:pt>
                <c:pt idx="13">
                  <c:v>495.52343632773881</c:v>
                </c:pt>
                <c:pt idx="14">
                  <c:v>529.08291012443806</c:v>
                </c:pt>
                <c:pt idx="15">
                  <c:v>564.27494605282345</c:v>
                </c:pt>
                <c:pt idx="16">
                  <c:v>606.53396345869589</c:v>
                </c:pt>
                <c:pt idx="17">
                  <c:v>644.30969606612848</c:v>
                </c:pt>
                <c:pt idx="18">
                  <c:v>641.23266709738152</c:v>
                </c:pt>
                <c:pt idx="19">
                  <c:v>674.4420069560598</c:v>
                </c:pt>
                <c:pt idx="20">
                  <c:v>697.14251031931917</c:v>
                </c:pt>
                <c:pt idx="21">
                  <c:v>723.43289281641728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C8-42D4-A77C-A0E4D9F5E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8450784"/>
        <c:axId val="498432544"/>
      </c:scatterChart>
      <c:valAx>
        <c:axId val="498450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time</a:t>
                </a:r>
                <a:r>
                  <a:rPr lang="de-DE" sz="1200" baseline="0"/>
                  <a:t> / s</a:t>
                </a:r>
                <a:endParaRPr lang="de-DE" sz="12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8432544"/>
        <c:crosses val="autoZero"/>
        <c:crossBetween val="midCat"/>
      </c:valAx>
      <c:valAx>
        <c:axId val="49843254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>
                    <a:effectLst/>
                  </a:rPr>
                  <a:t>Z</a:t>
                </a:r>
                <a:r>
                  <a:rPr lang="de-DE" sz="1200" baseline="30000">
                    <a:effectLst/>
                  </a:rPr>
                  <a:t>-2</a:t>
                </a:r>
                <a:r>
                  <a:rPr lang="de-DE" sz="1200">
                    <a:effectLst/>
                  </a:rPr>
                  <a:t> / m</a:t>
                </a:r>
                <a:r>
                  <a:rPr lang="de-DE" sz="1200" baseline="30000">
                    <a:effectLst/>
                  </a:rPr>
                  <a:t>-2</a:t>
                </a:r>
                <a:endParaRPr lang="de-DE" sz="12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98450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701675</xdr:colOff>
      <xdr:row>3</xdr:row>
      <xdr:rowOff>3175</xdr:rowOff>
    </xdr:from>
    <xdr:to>
      <xdr:col>15</xdr:col>
      <xdr:colOff>701675</xdr:colOff>
      <xdr:row>17</xdr:row>
      <xdr:rowOff>168275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420CC44-1A15-11DD-6D6E-8721DCA97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6D88-7525-41D1-A379-320075837B90}">
  <dimension ref="A1:I44"/>
  <sheetViews>
    <sheetView tabSelected="1" workbookViewId="0">
      <selection activeCell="I11" sqref="I11"/>
    </sheetView>
  </sheetViews>
  <sheetFormatPr baseColWidth="10" defaultRowHeight="14.5" x14ac:dyDescent="0.35"/>
  <sheetData>
    <row r="1" spans="1:9" x14ac:dyDescent="0.35">
      <c r="A1" t="s">
        <v>0</v>
      </c>
      <c r="D1" t="s">
        <v>1</v>
      </c>
      <c r="E1" t="s">
        <v>40</v>
      </c>
      <c r="F1" t="s">
        <v>41</v>
      </c>
      <c r="G1" t="s">
        <v>42</v>
      </c>
    </row>
    <row r="2" spans="1:9" x14ac:dyDescent="0.35">
      <c r="A2" t="s">
        <v>2</v>
      </c>
      <c r="B2">
        <v>0</v>
      </c>
      <c r="C2">
        <v>0</v>
      </c>
      <c r="D2">
        <v>262.69795806391699</v>
      </c>
      <c r="E2">
        <f>D2*0.139</f>
        <v>36.515016170884465</v>
      </c>
      <c r="F2">
        <f>E2/1000</f>
        <v>3.6515016170884464E-2</v>
      </c>
      <c r="G2">
        <f>F2^(-2)</f>
        <v>749.99264671962101</v>
      </c>
      <c r="H2" cm="1">
        <f t="array" ref="H2:I6">LINEST(G17:G38, C17:C38, TRUE, TRUE)</f>
        <v>0.41707215350963184</v>
      </c>
      <c r="I2">
        <v>-16.199626406593893</v>
      </c>
    </row>
    <row r="3" spans="1:9" x14ac:dyDescent="0.35">
      <c r="A3" t="s">
        <v>13</v>
      </c>
      <c r="B3">
        <v>0.5</v>
      </c>
      <c r="C3">
        <v>30</v>
      </c>
      <c r="D3">
        <v>255.81251161197901</v>
      </c>
      <c r="E3">
        <f t="shared" ref="E3:E39" si="0">D3*0.139</f>
        <v>35.557939114065086</v>
      </c>
      <c r="F3">
        <f t="shared" ref="F3:F39" si="1">E3/1000</f>
        <v>3.5557939114065087E-2</v>
      </c>
      <c r="G3">
        <f t="shared" ref="G3:G39" si="2">F3^(-2)</f>
        <v>790.90958011225075</v>
      </c>
      <c r="H3">
        <v>1.4242349485463386E-2</v>
      </c>
      <c r="I3">
        <v>16.71277662384653</v>
      </c>
    </row>
    <row r="4" spans="1:9" x14ac:dyDescent="0.35">
      <c r="A4" t="s">
        <v>24</v>
      </c>
      <c r="B4">
        <v>1</v>
      </c>
      <c r="C4">
        <v>60</v>
      </c>
      <c r="D4">
        <v>252.31806995383201</v>
      </c>
      <c r="E4">
        <f t="shared" si="0"/>
        <v>35.072211723582654</v>
      </c>
      <c r="F4">
        <f t="shared" si="1"/>
        <v>3.5072211723582651E-2</v>
      </c>
      <c r="G4">
        <f t="shared" si="2"/>
        <v>812.96844982901143</v>
      </c>
      <c r="H4">
        <v>0.97720925842238149</v>
      </c>
      <c r="I4">
        <v>25.428876444728875</v>
      </c>
    </row>
    <row r="5" spans="1:9" x14ac:dyDescent="0.35">
      <c r="A5" t="s">
        <v>34</v>
      </c>
      <c r="B5">
        <v>1.5</v>
      </c>
      <c r="C5">
        <v>90</v>
      </c>
      <c r="D5">
        <v>249.45202810505799</v>
      </c>
      <c r="E5">
        <f t="shared" si="0"/>
        <v>34.673831906603063</v>
      </c>
      <c r="F5">
        <f t="shared" si="1"/>
        <v>3.4673831906603066E-2</v>
      </c>
      <c r="G5">
        <f t="shared" si="2"/>
        <v>831.75672523062201</v>
      </c>
      <c r="H5">
        <v>857.54932992794136</v>
      </c>
      <c r="I5">
        <v>20</v>
      </c>
    </row>
    <row r="6" spans="1:9" x14ac:dyDescent="0.35">
      <c r="A6" t="s">
        <v>35</v>
      </c>
      <c r="B6">
        <v>2</v>
      </c>
      <c r="C6">
        <v>120</v>
      </c>
      <c r="D6">
        <v>245.314335248552</v>
      </c>
      <c r="E6">
        <f t="shared" si="0"/>
        <v>34.098692599548734</v>
      </c>
      <c r="F6">
        <f t="shared" si="1"/>
        <v>3.4098692599548737E-2</v>
      </c>
      <c r="G6">
        <f t="shared" si="2"/>
        <v>860.05167206036151</v>
      </c>
      <c r="H6">
        <v>554515.19993507327</v>
      </c>
      <c r="I6">
        <v>12932.555144825743</v>
      </c>
    </row>
    <row r="7" spans="1:9" x14ac:dyDescent="0.35">
      <c r="A7" t="s">
        <v>36</v>
      </c>
      <c r="B7">
        <v>2.5</v>
      </c>
      <c r="C7">
        <v>150</v>
      </c>
      <c r="D7">
        <v>239.13580951545001</v>
      </c>
      <c r="E7">
        <f t="shared" si="0"/>
        <v>33.239877522647554</v>
      </c>
      <c r="F7">
        <f t="shared" si="1"/>
        <v>3.3239877522647551E-2</v>
      </c>
      <c r="G7">
        <f t="shared" si="2"/>
        <v>905.06791698692007</v>
      </c>
    </row>
    <row r="8" spans="1:9" x14ac:dyDescent="0.35">
      <c r="A8" t="s">
        <v>37</v>
      </c>
      <c r="B8">
        <v>3</v>
      </c>
      <c r="C8">
        <v>180</v>
      </c>
      <c r="D8">
        <v>233.17821699944599</v>
      </c>
      <c r="E8">
        <f t="shared" si="0"/>
        <v>32.411772162922993</v>
      </c>
      <c r="F8">
        <f t="shared" si="1"/>
        <v>3.2411772162922993E-2</v>
      </c>
      <c r="G8">
        <f t="shared" si="2"/>
        <v>951.90683501836315</v>
      </c>
    </row>
    <row r="9" spans="1:9" x14ac:dyDescent="0.35">
      <c r="A9" t="s">
        <v>38</v>
      </c>
      <c r="B9">
        <v>3.5</v>
      </c>
      <c r="C9">
        <v>210</v>
      </c>
      <c r="D9">
        <v>233.42125864288499</v>
      </c>
      <c r="E9">
        <f t="shared" si="0"/>
        <v>32.445554951361018</v>
      </c>
      <c r="F9">
        <f t="shared" si="1"/>
        <v>3.2445554951361019E-2</v>
      </c>
      <c r="G9">
        <f t="shared" si="2"/>
        <v>949.9255882471291</v>
      </c>
    </row>
    <row r="10" spans="1:9" x14ac:dyDescent="0.35">
      <c r="A10" t="s">
        <v>39</v>
      </c>
      <c r="B10">
        <v>4</v>
      </c>
      <c r="C10">
        <v>240</v>
      </c>
      <c r="D10">
        <v>402.78255389948401</v>
      </c>
      <c r="E10">
        <f t="shared" si="0"/>
        <v>55.98677499202828</v>
      </c>
      <c r="F10">
        <f t="shared" si="1"/>
        <v>5.5986774992028282E-2</v>
      </c>
      <c r="G10">
        <f t="shared" si="2"/>
        <v>319.02821718170486</v>
      </c>
      <c r="I10">
        <f>H2/H3</f>
        <v>29.283943210024528</v>
      </c>
    </row>
    <row r="11" spans="1:9" x14ac:dyDescent="0.35">
      <c r="A11" t="s">
        <v>3</v>
      </c>
      <c r="B11">
        <v>4.5</v>
      </c>
      <c r="C11">
        <v>270</v>
      </c>
      <c r="D11">
        <v>428.87945879387303</v>
      </c>
      <c r="E11">
        <f t="shared" si="0"/>
        <v>59.614244772348357</v>
      </c>
      <c r="F11">
        <f t="shared" si="1"/>
        <v>5.9614244772348356E-2</v>
      </c>
      <c r="G11">
        <f t="shared" si="2"/>
        <v>281.38432920320372</v>
      </c>
    </row>
    <row r="12" spans="1:9" x14ac:dyDescent="0.35">
      <c r="A12" t="s">
        <v>4</v>
      </c>
      <c r="B12">
        <v>5</v>
      </c>
      <c r="C12">
        <v>300</v>
      </c>
      <c r="D12">
        <v>438.30611390393301</v>
      </c>
      <c r="E12">
        <f t="shared" si="0"/>
        <v>60.924549832646697</v>
      </c>
      <c r="F12">
        <f t="shared" si="1"/>
        <v>6.0924549832646696E-2</v>
      </c>
      <c r="G12">
        <f t="shared" si="2"/>
        <v>269.41101135055942</v>
      </c>
    </row>
    <row r="13" spans="1:9" x14ac:dyDescent="0.35">
      <c r="A13" t="s">
        <v>5</v>
      </c>
      <c r="B13">
        <v>5.5</v>
      </c>
      <c r="C13">
        <v>330</v>
      </c>
      <c r="D13">
        <v>416.07177495920502</v>
      </c>
      <c r="E13">
        <f t="shared" si="0"/>
        <v>57.833976719329499</v>
      </c>
      <c r="F13">
        <f t="shared" si="1"/>
        <v>5.7833976719329501E-2</v>
      </c>
      <c r="G13">
        <f t="shared" si="2"/>
        <v>298.97432106913044</v>
      </c>
    </row>
    <row r="14" spans="1:9" x14ac:dyDescent="0.35">
      <c r="A14" t="s">
        <v>6</v>
      </c>
      <c r="B14">
        <v>6</v>
      </c>
      <c r="C14">
        <v>360</v>
      </c>
      <c r="D14">
        <v>464.48422203254501</v>
      </c>
      <c r="E14">
        <f t="shared" si="0"/>
        <v>64.56330686252376</v>
      </c>
      <c r="F14">
        <f t="shared" si="1"/>
        <v>6.4563306862523762E-2</v>
      </c>
      <c r="G14">
        <f t="shared" si="2"/>
        <v>239.89901635008655</v>
      </c>
    </row>
    <row r="15" spans="1:9" x14ac:dyDescent="0.35">
      <c r="A15" t="s">
        <v>7</v>
      </c>
      <c r="B15">
        <v>6.5</v>
      </c>
      <c r="C15">
        <v>390</v>
      </c>
      <c r="D15">
        <v>460.66643678795702</v>
      </c>
      <c r="E15">
        <f t="shared" si="0"/>
        <v>64.032634713526036</v>
      </c>
      <c r="F15">
        <f t="shared" si="1"/>
        <v>6.4032634713526035E-2</v>
      </c>
      <c r="G15">
        <f t="shared" si="2"/>
        <v>243.89183220692479</v>
      </c>
    </row>
    <row r="16" spans="1:9" x14ac:dyDescent="0.35">
      <c r="A16" t="s">
        <v>8</v>
      </c>
      <c r="B16">
        <v>7</v>
      </c>
      <c r="C16">
        <v>420</v>
      </c>
      <c r="D16">
        <v>458.975770491937</v>
      </c>
      <c r="E16">
        <f t="shared" si="0"/>
        <v>63.797632098379246</v>
      </c>
      <c r="F16">
        <f t="shared" si="1"/>
        <v>6.3797632098379242E-2</v>
      </c>
      <c r="G16">
        <f t="shared" si="2"/>
        <v>245.691923483354</v>
      </c>
    </row>
    <row r="17" spans="1:7" x14ac:dyDescent="0.35">
      <c r="A17" t="s">
        <v>9</v>
      </c>
      <c r="B17">
        <v>8</v>
      </c>
      <c r="C17">
        <v>480</v>
      </c>
      <c r="D17">
        <v>469.94510943320302</v>
      </c>
      <c r="E17">
        <f t="shared" si="0"/>
        <v>65.32237021121523</v>
      </c>
      <c r="F17">
        <f t="shared" si="1"/>
        <v>6.532237021121523E-2</v>
      </c>
      <c r="G17">
        <f t="shared" si="2"/>
        <v>234.35602906193063</v>
      </c>
    </row>
    <row r="18" spans="1:7" x14ac:dyDescent="0.35">
      <c r="A18" t="s">
        <v>10</v>
      </c>
      <c r="B18">
        <v>9</v>
      </c>
      <c r="C18">
        <v>540</v>
      </c>
      <c r="D18">
        <v>463.59519263720898</v>
      </c>
      <c r="E18">
        <f t="shared" si="0"/>
        <v>64.43973177657206</v>
      </c>
      <c r="F18">
        <f t="shared" si="1"/>
        <v>6.4439731776572057E-2</v>
      </c>
      <c r="G18">
        <f t="shared" si="2"/>
        <v>240.81999991558055</v>
      </c>
    </row>
    <row r="19" spans="1:7" x14ac:dyDescent="0.35">
      <c r="A19" t="s">
        <v>11</v>
      </c>
      <c r="B19">
        <v>10</v>
      </c>
      <c r="C19">
        <v>600</v>
      </c>
      <c r="D19">
        <v>446.63954875402101</v>
      </c>
      <c r="E19">
        <f t="shared" si="0"/>
        <v>62.082897276808929</v>
      </c>
      <c r="F19">
        <f t="shared" si="1"/>
        <v>6.2082897276808928E-2</v>
      </c>
      <c r="G19">
        <f t="shared" si="2"/>
        <v>259.45141724307297</v>
      </c>
    </row>
    <row r="20" spans="1:7" x14ac:dyDescent="0.35">
      <c r="A20" t="s">
        <v>12</v>
      </c>
      <c r="B20">
        <v>11</v>
      </c>
      <c r="C20">
        <v>660</v>
      </c>
      <c r="D20">
        <v>446.32210198262402</v>
      </c>
      <c r="E20">
        <f t="shared" si="0"/>
        <v>62.038772175584747</v>
      </c>
      <c r="F20">
        <f t="shared" si="1"/>
        <v>6.2038772175584747E-2</v>
      </c>
      <c r="G20">
        <f t="shared" si="2"/>
        <v>259.82061833967992</v>
      </c>
    </row>
    <row r="21" spans="1:7" x14ac:dyDescent="0.35">
      <c r="A21" t="s">
        <v>14</v>
      </c>
      <c r="B21">
        <v>12</v>
      </c>
      <c r="C21">
        <v>720</v>
      </c>
      <c r="D21">
        <v>420.68996830600099</v>
      </c>
      <c r="E21">
        <f t="shared" si="0"/>
        <v>58.47590559453414</v>
      </c>
      <c r="F21">
        <f t="shared" si="1"/>
        <v>5.8475905594534139E-2</v>
      </c>
      <c r="G21">
        <f t="shared" si="2"/>
        <v>292.44627059640811</v>
      </c>
    </row>
    <row r="22" spans="1:7" x14ac:dyDescent="0.35">
      <c r="A22" t="s">
        <v>15</v>
      </c>
      <c r="B22">
        <v>13</v>
      </c>
      <c r="C22">
        <v>780</v>
      </c>
      <c r="D22">
        <v>413.143711627789</v>
      </c>
      <c r="E22">
        <f t="shared" si="0"/>
        <v>57.426975916262677</v>
      </c>
      <c r="F22">
        <f t="shared" si="1"/>
        <v>5.7426975916262675E-2</v>
      </c>
      <c r="G22">
        <f t="shared" si="2"/>
        <v>303.22716519162793</v>
      </c>
    </row>
    <row r="23" spans="1:7" x14ac:dyDescent="0.35">
      <c r="A23" t="s">
        <v>16</v>
      </c>
      <c r="B23">
        <v>14</v>
      </c>
      <c r="C23">
        <v>840</v>
      </c>
      <c r="D23">
        <v>407.49442247132498</v>
      </c>
      <c r="E23">
        <f t="shared" si="0"/>
        <v>56.64172472351418</v>
      </c>
      <c r="F23">
        <f t="shared" si="1"/>
        <v>5.6641724723514184E-2</v>
      </c>
      <c r="G23">
        <f t="shared" si="2"/>
        <v>311.69300929985781</v>
      </c>
    </row>
    <row r="24" spans="1:7" x14ac:dyDescent="0.35">
      <c r="A24" t="s">
        <v>17</v>
      </c>
      <c r="B24">
        <v>15</v>
      </c>
      <c r="C24">
        <v>900</v>
      </c>
      <c r="D24">
        <v>398.98349566732702</v>
      </c>
      <c r="E24">
        <f t="shared" si="0"/>
        <v>55.458705897758463</v>
      </c>
      <c r="F24">
        <f t="shared" si="1"/>
        <v>5.5458705897758462E-2</v>
      </c>
      <c r="G24">
        <f t="shared" si="2"/>
        <v>325.13261526910247</v>
      </c>
    </row>
    <row r="25" spans="1:7" x14ac:dyDescent="0.35">
      <c r="A25" t="s">
        <v>18</v>
      </c>
      <c r="B25">
        <v>16</v>
      </c>
      <c r="C25">
        <v>960</v>
      </c>
      <c r="D25">
        <v>381.365191925256</v>
      </c>
      <c r="E25">
        <f t="shared" si="0"/>
        <v>53.009761677610591</v>
      </c>
      <c r="F25">
        <f t="shared" si="1"/>
        <v>5.3009761677610588E-2</v>
      </c>
      <c r="G25">
        <f t="shared" si="2"/>
        <v>355.86747474255878</v>
      </c>
    </row>
    <row r="26" spans="1:7" x14ac:dyDescent="0.35">
      <c r="A26" t="s">
        <v>19</v>
      </c>
      <c r="B26">
        <v>17</v>
      </c>
      <c r="C26">
        <v>1020</v>
      </c>
      <c r="D26">
        <v>370.07305242413798</v>
      </c>
      <c r="E26">
        <f t="shared" si="0"/>
        <v>51.440154286955185</v>
      </c>
      <c r="F26">
        <f t="shared" si="1"/>
        <v>5.1440154286955184E-2</v>
      </c>
      <c r="G26">
        <f t="shared" si="2"/>
        <v>377.91617032563988</v>
      </c>
    </row>
    <row r="27" spans="1:7" x14ac:dyDescent="0.35">
      <c r="A27" t="s">
        <v>20</v>
      </c>
      <c r="B27">
        <v>18</v>
      </c>
      <c r="C27">
        <v>1080</v>
      </c>
      <c r="D27">
        <v>361.587464042183</v>
      </c>
      <c r="E27">
        <f t="shared" si="0"/>
        <v>50.260657501863442</v>
      </c>
      <c r="F27">
        <f t="shared" si="1"/>
        <v>5.026065750186344E-2</v>
      </c>
      <c r="G27">
        <f t="shared" si="2"/>
        <v>395.8618670742552</v>
      </c>
    </row>
    <row r="28" spans="1:7" x14ac:dyDescent="0.35">
      <c r="A28" t="s">
        <v>21</v>
      </c>
      <c r="B28">
        <v>19</v>
      </c>
      <c r="C28">
        <v>1140</v>
      </c>
      <c r="D28">
        <v>345.60137762609401</v>
      </c>
      <c r="E28">
        <f t="shared" si="0"/>
        <v>48.038591490027073</v>
      </c>
      <c r="F28">
        <f t="shared" si="1"/>
        <v>4.8038591490027073E-2</v>
      </c>
      <c r="G28">
        <f t="shared" si="2"/>
        <v>433.33071109761966</v>
      </c>
    </row>
    <row r="29" spans="1:7" x14ac:dyDescent="0.35">
      <c r="A29" t="s">
        <v>22</v>
      </c>
      <c r="B29">
        <v>20</v>
      </c>
      <c r="C29">
        <v>1200</v>
      </c>
      <c r="D29">
        <v>334.48514307449898</v>
      </c>
      <c r="E29">
        <f t="shared" si="0"/>
        <v>46.493434887355363</v>
      </c>
      <c r="F29">
        <f t="shared" si="1"/>
        <v>4.6493434887355363E-2</v>
      </c>
      <c r="G29">
        <f t="shared" si="2"/>
        <v>462.61183038380619</v>
      </c>
    </row>
    <row r="30" spans="1:7" x14ac:dyDescent="0.35">
      <c r="A30" t="s">
        <v>23</v>
      </c>
      <c r="B30">
        <v>21</v>
      </c>
      <c r="C30">
        <v>1260</v>
      </c>
      <c r="D30">
        <v>323.18641705903599</v>
      </c>
      <c r="E30">
        <f t="shared" si="0"/>
        <v>44.922911971206005</v>
      </c>
      <c r="F30">
        <f t="shared" si="1"/>
        <v>4.4922911971206007E-2</v>
      </c>
      <c r="G30">
        <f t="shared" si="2"/>
        <v>495.52343632773881</v>
      </c>
    </row>
    <row r="31" spans="1:7" x14ac:dyDescent="0.35">
      <c r="A31" t="s">
        <v>25</v>
      </c>
      <c r="B31">
        <v>22</v>
      </c>
      <c r="C31">
        <v>1320</v>
      </c>
      <c r="D31">
        <v>312.76873451781699</v>
      </c>
      <c r="E31">
        <f t="shared" si="0"/>
        <v>43.474854097976568</v>
      </c>
      <c r="F31">
        <f t="shared" si="1"/>
        <v>4.3474854097976565E-2</v>
      </c>
      <c r="G31">
        <f t="shared" si="2"/>
        <v>529.08291012443806</v>
      </c>
    </row>
    <row r="32" spans="1:7" x14ac:dyDescent="0.35">
      <c r="A32" t="s">
        <v>26</v>
      </c>
      <c r="B32">
        <v>23</v>
      </c>
      <c r="C32">
        <v>1380</v>
      </c>
      <c r="D32">
        <v>302.85853399408097</v>
      </c>
      <c r="E32">
        <f t="shared" si="0"/>
        <v>42.097336225177258</v>
      </c>
      <c r="F32">
        <f t="shared" si="1"/>
        <v>4.2097336225177258E-2</v>
      </c>
      <c r="G32">
        <f t="shared" si="2"/>
        <v>564.27494605282345</v>
      </c>
    </row>
    <row r="33" spans="1:7" x14ac:dyDescent="0.35">
      <c r="A33" t="s">
        <v>27</v>
      </c>
      <c r="B33">
        <v>24</v>
      </c>
      <c r="C33">
        <v>1440</v>
      </c>
      <c r="D33">
        <v>292.117541855544</v>
      </c>
      <c r="E33">
        <f t="shared" si="0"/>
        <v>40.604338317920622</v>
      </c>
      <c r="F33">
        <f t="shared" si="1"/>
        <v>4.0604338317920624E-2</v>
      </c>
      <c r="G33">
        <f t="shared" si="2"/>
        <v>606.53396345869589</v>
      </c>
    </row>
    <row r="34" spans="1:7" x14ac:dyDescent="0.35">
      <c r="A34" t="s">
        <v>28</v>
      </c>
      <c r="B34">
        <v>25</v>
      </c>
      <c r="C34">
        <v>1500</v>
      </c>
      <c r="D34">
        <v>283.42481135742401</v>
      </c>
      <c r="E34">
        <f t="shared" si="0"/>
        <v>39.396048778681937</v>
      </c>
      <c r="F34">
        <f t="shared" si="1"/>
        <v>3.9396048778681934E-2</v>
      </c>
      <c r="G34">
        <f t="shared" si="2"/>
        <v>644.30969606612848</v>
      </c>
    </row>
    <row r="35" spans="1:7" x14ac:dyDescent="0.35">
      <c r="A35" t="s">
        <v>29</v>
      </c>
      <c r="B35">
        <v>26</v>
      </c>
      <c r="C35">
        <v>1560</v>
      </c>
      <c r="D35">
        <v>284.10402085240599</v>
      </c>
      <c r="E35">
        <f t="shared" si="0"/>
        <v>39.490458898484434</v>
      </c>
      <c r="F35">
        <f t="shared" si="1"/>
        <v>3.9490458898484432E-2</v>
      </c>
      <c r="G35">
        <f t="shared" si="2"/>
        <v>641.23266709738152</v>
      </c>
    </row>
    <row r="36" spans="1:7" x14ac:dyDescent="0.35">
      <c r="A36" t="s">
        <v>30</v>
      </c>
      <c r="B36">
        <v>27</v>
      </c>
      <c r="C36">
        <v>1620</v>
      </c>
      <c r="D36">
        <v>277.02112823978399</v>
      </c>
      <c r="E36">
        <f t="shared" si="0"/>
        <v>38.505936825329975</v>
      </c>
      <c r="F36">
        <f t="shared" si="1"/>
        <v>3.8505936825329976E-2</v>
      </c>
      <c r="G36">
        <f t="shared" si="2"/>
        <v>674.4420069560598</v>
      </c>
    </row>
    <row r="37" spans="1:7" x14ac:dyDescent="0.35">
      <c r="A37" t="s">
        <v>31</v>
      </c>
      <c r="B37">
        <v>28</v>
      </c>
      <c r="C37">
        <v>1680</v>
      </c>
      <c r="D37">
        <v>272.47359182796703</v>
      </c>
      <c r="E37">
        <f t="shared" si="0"/>
        <v>37.873829264087419</v>
      </c>
      <c r="F37">
        <f t="shared" si="1"/>
        <v>3.7873829264087416E-2</v>
      </c>
      <c r="G37">
        <f t="shared" si="2"/>
        <v>697.14251031931917</v>
      </c>
    </row>
    <row r="38" spans="1:7" x14ac:dyDescent="0.35">
      <c r="A38" t="s">
        <v>32</v>
      </c>
      <c r="B38">
        <v>29</v>
      </c>
      <c r="C38">
        <v>1740</v>
      </c>
      <c r="D38">
        <v>267.47677248039003</v>
      </c>
      <c r="E38">
        <f t="shared" si="0"/>
        <v>37.179271374774217</v>
      </c>
      <c r="F38">
        <f t="shared" si="1"/>
        <v>3.7179271374774218E-2</v>
      </c>
      <c r="G38">
        <f t="shared" si="2"/>
        <v>723.43289281641728</v>
      </c>
    </row>
    <row r="39" spans="1:7" x14ac:dyDescent="0.35">
      <c r="A39" t="s">
        <v>33</v>
      </c>
      <c r="B39">
        <v>30</v>
      </c>
      <c r="C39">
        <v>1800</v>
      </c>
      <c r="D39">
        <v>229.07398143964801</v>
      </c>
      <c r="E39">
        <f t="shared" si="0"/>
        <v>31.841283420111075</v>
      </c>
      <c r="F39">
        <f t="shared" si="1"/>
        <v>3.1841283420111076E-2</v>
      </c>
      <c r="G39">
        <f t="shared" si="2"/>
        <v>986.32234274475434</v>
      </c>
    </row>
    <row r="44" spans="1:7" x14ac:dyDescent="0.35">
      <c r="F44">
        <f>SLOPE(G18:G55,C18:C55)</f>
        <v>0.47773409074418816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Differenz_Spline_Linear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Brügger</dc:creator>
  <cp:lastModifiedBy>Julian Bruegger</cp:lastModifiedBy>
  <dcterms:created xsi:type="dcterms:W3CDTF">2026-01-14T22:27:26Z</dcterms:created>
  <dcterms:modified xsi:type="dcterms:W3CDTF">2026-01-21T08:22:18Z</dcterms:modified>
</cp:coreProperties>
</file>