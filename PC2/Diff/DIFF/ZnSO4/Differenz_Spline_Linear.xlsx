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9157\OneDrive\Dokumente\1. Uni Stuttgart\1.4. PC\1.4.6. PC II Lab\Protokolle\PC2\Diff\DIFF\ZnSO4\"/>
    </mc:Choice>
  </mc:AlternateContent>
  <xr:revisionPtr revIDLastSave="0" documentId="13_ncr:9_{D9BC5CC1-0BFC-4473-9341-53EA1A1EE7EC}" xr6:coauthVersionLast="47" xr6:coauthVersionMax="47" xr10:uidLastSave="{00000000-0000-0000-0000-000000000000}"/>
  <bookViews>
    <workbookView xWindow="-110" yWindow="-110" windowWidth="19420" windowHeight="10420" xr2:uid="{AB37D8BF-2196-43B1-961C-DF9440D73305}"/>
  </bookViews>
  <sheets>
    <sheet name="Differenz_Spline_Linear" sheetId="1" r:id="rId1"/>
  </sheets>
  <calcPr calcId="0"/>
</workbook>
</file>

<file path=xl/calcChain.xml><?xml version="1.0" encoding="utf-8"?>
<calcChain xmlns="http://schemas.openxmlformats.org/spreadsheetml/2006/main">
  <c r="E3" i="1" l="1"/>
  <c r="F3" i="1" s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F2" i="1"/>
  <c r="E2" i="1"/>
</calcChain>
</file>

<file path=xl/sharedStrings.xml><?xml version="1.0" encoding="utf-8"?>
<sst xmlns="http://schemas.openxmlformats.org/spreadsheetml/2006/main" count="40" uniqueCount="40">
  <si>
    <t>Datei</t>
  </si>
  <si>
    <t>Delta_y</t>
  </si>
  <si>
    <t>znso4_ (1).dat</t>
  </si>
  <si>
    <t>znso4_ (10).dat</t>
  </si>
  <si>
    <t>znso4_ (11).dat</t>
  </si>
  <si>
    <t>znso4_ (12).dat</t>
  </si>
  <si>
    <t>znso4_ (13).dat</t>
  </si>
  <si>
    <t>znso4_ (14).dat</t>
  </si>
  <si>
    <t>znso4_ (15).dat</t>
  </si>
  <si>
    <t>znso4_ (16).dat</t>
  </si>
  <si>
    <t>znso4_ (17).dat</t>
  </si>
  <si>
    <t>znso4_ (18).dat</t>
  </si>
  <si>
    <t>znso4_ (19).dat</t>
  </si>
  <si>
    <t>znso4_ (2).dat</t>
  </si>
  <si>
    <t>znso4_ (20).dat</t>
  </si>
  <si>
    <t>znso4_ (21).dat</t>
  </si>
  <si>
    <t>znso4_ (22).dat</t>
  </si>
  <si>
    <t>znso4_ (23).dat</t>
  </si>
  <si>
    <t>znso4_ (24).dat</t>
  </si>
  <si>
    <t>znso4_ (25).dat</t>
  </si>
  <si>
    <t>znso4_ (26).dat</t>
  </si>
  <si>
    <t>znso4_ (27).dat</t>
  </si>
  <si>
    <t>znso4_ (28).dat</t>
  </si>
  <si>
    <t>znso4_ (29).dat</t>
  </si>
  <si>
    <t>znso4_ (3).dat</t>
  </si>
  <si>
    <t>znso4_ (30).dat</t>
  </si>
  <si>
    <t>znso4_ (31).dat</t>
  </si>
  <si>
    <t>znso4_ (32).dat</t>
  </si>
  <si>
    <t>znso4_ (33).dat</t>
  </si>
  <si>
    <t>znso4_ (34).dat</t>
  </si>
  <si>
    <t>znso4_ (35).dat</t>
  </si>
  <si>
    <t>znso4_ (36).dat</t>
  </si>
  <si>
    <t>znso4_ (37).dat</t>
  </si>
  <si>
    <t>znso4_ (38).dat</t>
  </si>
  <si>
    <t>znso4_ (4).dat</t>
  </si>
  <si>
    <t>znso4_ (5).dat</t>
  </si>
  <si>
    <t>znso4_ (6).dat</t>
  </si>
  <si>
    <t>znso4_ (7).dat</t>
  </si>
  <si>
    <t>znso4_ (8).dat</t>
  </si>
  <si>
    <t>znso4_ (9).dat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</si>
</sst>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786804461942256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Differenz_Spline_Linear!$C$17:$C$39</c:f>
              <c:numCache>
                <c:formatCode>General</c:formatCode>
                <c:ptCount val="23"/>
                <c:pt idx="0">
                  <c:v>480</c:v>
                </c:pt>
                <c:pt idx="1">
                  <c:v>540</c:v>
                </c:pt>
                <c:pt idx="2">
                  <c:v>600</c:v>
                </c:pt>
                <c:pt idx="3">
                  <c:v>660</c:v>
                </c:pt>
                <c:pt idx="4">
                  <c:v>720</c:v>
                </c:pt>
                <c:pt idx="5">
                  <c:v>780</c:v>
                </c:pt>
                <c:pt idx="6">
                  <c:v>840</c:v>
                </c:pt>
                <c:pt idx="7">
                  <c:v>900</c:v>
                </c:pt>
                <c:pt idx="8">
                  <c:v>960</c:v>
                </c:pt>
                <c:pt idx="9">
                  <c:v>1020</c:v>
                </c:pt>
                <c:pt idx="10">
                  <c:v>1080</c:v>
                </c:pt>
                <c:pt idx="11">
                  <c:v>1140</c:v>
                </c:pt>
                <c:pt idx="12">
                  <c:v>1200</c:v>
                </c:pt>
                <c:pt idx="13">
                  <c:v>1260</c:v>
                </c:pt>
                <c:pt idx="14">
                  <c:v>1320</c:v>
                </c:pt>
                <c:pt idx="15">
                  <c:v>1380</c:v>
                </c:pt>
                <c:pt idx="16">
                  <c:v>1440</c:v>
                </c:pt>
                <c:pt idx="17">
                  <c:v>1500</c:v>
                </c:pt>
                <c:pt idx="18">
                  <c:v>1560</c:v>
                </c:pt>
                <c:pt idx="19">
                  <c:v>1620</c:v>
                </c:pt>
                <c:pt idx="20">
                  <c:v>1680</c:v>
                </c:pt>
                <c:pt idx="21">
                  <c:v>1740</c:v>
                </c:pt>
                <c:pt idx="22">
                  <c:v>1800</c:v>
                </c:pt>
              </c:numCache>
            </c:numRef>
          </c:xVal>
          <c:yVal>
            <c:numRef>
              <c:f>Differenz_Spline_Linear!$F$17:$F$39</c:f>
              <c:numCache>
                <c:formatCode>General</c:formatCode>
                <c:ptCount val="23"/>
                <c:pt idx="0">
                  <c:v>2.3435602906193067E-4</c:v>
                </c:pt>
                <c:pt idx="1">
                  <c:v>2.4081999991558051E-4</c:v>
                </c:pt>
                <c:pt idx="2">
                  <c:v>2.5945141724307294E-4</c:v>
                </c:pt>
                <c:pt idx="3">
                  <c:v>2.5982061833967993E-4</c:v>
                </c:pt>
                <c:pt idx="4">
                  <c:v>2.9244627059640815E-4</c:v>
                </c:pt>
                <c:pt idx="5">
                  <c:v>3.0322716519162794E-4</c:v>
                </c:pt>
                <c:pt idx="6">
                  <c:v>3.1169300929985791E-4</c:v>
                </c:pt>
                <c:pt idx="7">
                  <c:v>3.2513261526910249E-4</c:v>
                </c:pt>
                <c:pt idx="8">
                  <c:v>3.5586747474255869E-4</c:v>
                </c:pt>
                <c:pt idx="9">
                  <c:v>3.7791617032563983E-4</c:v>
                </c:pt>
                <c:pt idx="10">
                  <c:v>3.9586186707425518E-4</c:v>
                </c:pt>
                <c:pt idx="11">
                  <c:v>4.3333071109761964E-4</c:v>
                </c:pt>
                <c:pt idx="12">
                  <c:v>4.6261183038380629E-4</c:v>
                </c:pt>
                <c:pt idx="13">
                  <c:v>4.9552343632773891E-4</c:v>
                </c:pt>
                <c:pt idx="14">
                  <c:v>5.29082910124438E-4</c:v>
                </c:pt>
                <c:pt idx="15">
                  <c:v>5.6427494605282345E-4</c:v>
                </c:pt>
                <c:pt idx="16">
                  <c:v>6.0653396345869588E-4</c:v>
                </c:pt>
                <c:pt idx="17">
                  <c:v>6.4430969606612848E-4</c:v>
                </c:pt>
                <c:pt idx="18">
                  <c:v>6.412326670973815E-4</c:v>
                </c:pt>
                <c:pt idx="19">
                  <c:v>6.7444200695605989E-4</c:v>
                </c:pt>
                <c:pt idx="20">
                  <c:v>6.9714251031931891E-4</c:v>
                </c:pt>
                <c:pt idx="21">
                  <c:v>7.2343289281641735E-4</c:v>
                </c:pt>
                <c:pt idx="22">
                  <c:v>9.8632234274475422E-4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C8-42D4-A77C-A0E4D9F5E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450784"/>
        <c:axId val="498432544"/>
      </c:scatterChart>
      <c:valAx>
        <c:axId val="49845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8432544"/>
        <c:crosses val="autoZero"/>
        <c:crossBetween val="midCat"/>
      </c:valAx>
      <c:valAx>
        <c:axId val="49843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8450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669925</xdr:colOff>
      <xdr:row>1</xdr:row>
      <xdr:rowOff>120650</xdr:rowOff>
    </xdr:from>
    <xdr:to>
      <xdr:col>12</xdr:col>
      <xdr:colOff>669925</xdr:colOff>
      <xdr:row>16</xdr:row>
      <xdr:rowOff>101600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420CC44-1A15-11DD-6D6E-8721DCA97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66D88-7525-41D1-A379-320075837B90}">
  <dimension ref="A1:F39"/>
  <sheetViews>
    <sheetView tabSelected="1" workbookViewId="0">
      <selection activeCell="F39" activeCellId="1" sqref="C2:C39 F2:F39"/>
    </sheetView>
  </sheetViews>
  <sheetFormatPr baseColWidth="10" defaultRowHeight="14.5" x14ac:dyDescent="0.35"/>
  <sheetData>
    <row r="1" spans="1:6" x14ac:dyDescent="0.35">
      <c r="A1" t="s">
        <v>0</v>
      </c>
      <c r="D1" t="s">
        <v>1</v>
      </c>
    </row>
    <row r="2" spans="1:6" x14ac:dyDescent="0.35">
      <c r="A2" t="s">
        <v>2</v>
      </c>
      <c r="B2">
        <v>0</v>
      </c>
      <c r="C2">
        <v>0</v>
      </c>
      <c r="D2">
        <v>262.69795806391699</v>
      </c>
      <c r="E2">
        <f>D2*0.139</f>
        <v>36.515016170884465</v>
      </c>
      <c r="F2">
        <f>E2^(-2)</f>
        <v>7.4999264671962089E-4</v>
      </c>
    </row>
    <row r="3" spans="1:6" x14ac:dyDescent="0.35">
      <c r="A3" t="s">
        <v>13</v>
      </c>
      <c r="B3">
        <v>0.5</v>
      </c>
      <c r="C3">
        <v>30</v>
      </c>
      <c r="D3">
        <v>255.81251161197901</v>
      </c>
      <c r="E3">
        <f t="shared" ref="E3:E39" si="0">D3*0.139</f>
        <v>35.557939114065086</v>
      </c>
      <c r="F3">
        <f t="shared" ref="F3:F39" si="1">E3^(-2)</f>
        <v>7.9090958011225078E-4</v>
      </c>
    </row>
    <row r="4" spans="1:6" x14ac:dyDescent="0.35">
      <c r="A4" t="s">
        <v>24</v>
      </c>
      <c r="B4">
        <v>1</v>
      </c>
      <c r="C4">
        <v>60</v>
      </c>
      <c r="D4">
        <v>252.31806995383201</v>
      </c>
      <c r="E4">
        <f t="shared" si="0"/>
        <v>35.072211723582654</v>
      </c>
      <c r="F4">
        <f t="shared" si="1"/>
        <v>8.1296844982901135E-4</v>
      </c>
    </row>
    <row r="5" spans="1:6" x14ac:dyDescent="0.35">
      <c r="A5" t="s">
        <v>34</v>
      </c>
      <c r="B5">
        <v>1.5</v>
      </c>
      <c r="C5">
        <v>90</v>
      </c>
      <c r="D5">
        <v>249.45202810505799</v>
      </c>
      <c r="E5">
        <f t="shared" si="0"/>
        <v>34.673831906603063</v>
      </c>
      <c r="F5">
        <f t="shared" si="1"/>
        <v>8.317567252306222E-4</v>
      </c>
    </row>
    <row r="6" spans="1:6" x14ac:dyDescent="0.35">
      <c r="A6" t="s">
        <v>35</v>
      </c>
      <c r="B6">
        <v>2</v>
      </c>
      <c r="C6">
        <v>120</v>
      </c>
      <c r="D6">
        <v>245.314335248552</v>
      </c>
      <c r="E6">
        <f t="shared" si="0"/>
        <v>34.098692599548734</v>
      </c>
      <c r="F6">
        <f t="shared" si="1"/>
        <v>8.6005167206036159E-4</v>
      </c>
    </row>
    <row r="7" spans="1:6" x14ac:dyDescent="0.35">
      <c r="A7" t="s">
        <v>36</v>
      </c>
      <c r="B7">
        <v>2.5</v>
      </c>
      <c r="C7">
        <v>150</v>
      </c>
      <c r="D7">
        <v>239.13580951545001</v>
      </c>
      <c r="E7">
        <f t="shared" si="0"/>
        <v>33.239877522647554</v>
      </c>
      <c r="F7">
        <f t="shared" si="1"/>
        <v>9.0506791698691973E-4</v>
      </c>
    </row>
    <row r="8" spans="1:6" x14ac:dyDescent="0.35">
      <c r="A8" t="s">
        <v>37</v>
      </c>
      <c r="B8">
        <v>3</v>
      </c>
      <c r="C8">
        <v>180</v>
      </c>
      <c r="D8">
        <v>233.17821699944599</v>
      </c>
      <c r="E8">
        <f t="shared" si="0"/>
        <v>32.411772162922993</v>
      </c>
      <c r="F8">
        <f t="shared" si="1"/>
        <v>9.5190683501836324E-4</v>
      </c>
    </row>
    <row r="9" spans="1:6" x14ac:dyDescent="0.35">
      <c r="A9" t="s">
        <v>38</v>
      </c>
      <c r="B9">
        <v>3.5</v>
      </c>
      <c r="C9">
        <v>210</v>
      </c>
      <c r="D9">
        <v>233.42125864288499</v>
      </c>
      <c r="E9">
        <f t="shared" si="0"/>
        <v>32.445554951361018</v>
      </c>
      <c r="F9">
        <f t="shared" si="1"/>
        <v>9.4992558824712908E-4</v>
      </c>
    </row>
    <row r="10" spans="1:6" x14ac:dyDescent="0.35">
      <c r="A10" t="s">
        <v>39</v>
      </c>
      <c r="B10">
        <v>4</v>
      </c>
      <c r="C10">
        <v>240</v>
      </c>
      <c r="D10">
        <v>402.78255389948401</v>
      </c>
      <c r="E10">
        <f t="shared" si="0"/>
        <v>55.98677499202828</v>
      </c>
      <c r="F10">
        <f t="shared" si="1"/>
        <v>3.1902821718170487E-4</v>
      </c>
    </row>
    <row r="11" spans="1:6" x14ac:dyDescent="0.35">
      <c r="A11" t="s">
        <v>3</v>
      </c>
      <c r="B11">
        <v>4.5</v>
      </c>
      <c r="C11">
        <v>270</v>
      </c>
      <c r="D11">
        <v>428.87945879387303</v>
      </c>
      <c r="E11">
        <f t="shared" si="0"/>
        <v>59.614244772348357</v>
      </c>
      <c r="F11">
        <f t="shared" si="1"/>
        <v>2.8138432920320368E-4</v>
      </c>
    </row>
    <row r="12" spans="1:6" x14ac:dyDescent="0.35">
      <c r="A12" t="s">
        <v>4</v>
      </c>
      <c r="B12">
        <v>5</v>
      </c>
      <c r="C12">
        <v>300</v>
      </c>
      <c r="D12">
        <v>438.30611390393301</v>
      </c>
      <c r="E12">
        <f t="shared" si="0"/>
        <v>60.924549832646697</v>
      </c>
      <c r="F12">
        <f t="shared" si="1"/>
        <v>2.6941101135055943E-4</v>
      </c>
    </row>
    <row r="13" spans="1:6" x14ac:dyDescent="0.35">
      <c r="A13" t="s">
        <v>5</v>
      </c>
      <c r="B13">
        <v>5.5</v>
      </c>
      <c r="C13">
        <v>330</v>
      </c>
      <c r="D13">
        <v>416.07177495920502</v>
      </c>
      <c r="E13">
        <f t="shared" si="0"/>
        <v>57.833976719329499</v>
      </c>
      <c r="F13">
        <f t="shared" si="1"/>
        <v>2.9897432106913046E-4</v>
      </c>
    </row>
    <row r="14" spans="1:6" x14ac:dyDescent="0.35">
      <c r="A14" t="s">
        <v>6</v>
      </c>
      <c r="B14">
        <v>6</v>
      </c>
      <c r="C14">
        <v>360</v>
      </c>
      <c r="D14">
        <v>464.48422203254501</v>
      </c>
      <c r="E14">
        <f t="shared" si="0"/>
        <v>64.56330686252376</v>
      </c>
      <c r="F14">
        <f t="shared" si="1"/>
        <v>2.3989901635008658E-4</v>
      </c>
    </row>
    <row r="15" spans="1:6" x14ac:dyDescent="0.35">
      <c r="A15" t="s">
        <v>7</v>
      </c>
      <c r="B15">
        <v>6.5</v>
      </c>
      <c r="C15">
        <v>390</v>
      </c>
      <c r="D15">
        <v>460.66643678795702</v>
      </c>
      <c r="E15">
        <f t="shared" si="0"/>
        <v>64.032634713526036</v>
      </c>
      <c r="F15">
        <f t="shared" si="1"/>
        <v>2.4389183220692481E-4</v>
      </c>
    </row>
    <row r="16" spans="1:6" x14ac:dyDescent="0.35">
      <c r="A16" t="s">
        <v>8</v>
      </c>
      <c r="B16">
        <v>7</v>
      </c>
      <c r="C16">
        <v>420</v>
      </c>
      <c r="D16">
        <v>458.975770491937</v>
      </c>
      <c r="E16">
        <f t="shared" si="0"/>
        <v>63.797632098379246</v>
      </c>
      <c r="F16">
        <f t="shared" si="1"/>
        <v>2.45691923483354E-4</v>
      </c>
    </row>
    <row r="17" spans="1:6" x14ac:dyDescent="0.35">
      <c r="A17" t="s">
        <v>9</v>
      </c>
      <c r="B17">
        <v>8</v>
      </c>
      <c r="C17">
        <v>480</v>
      </c>
      <c r="D17">
        <v>469.94510943320302</v>
      </c>
      <c r="E17">
        <f t="shared" si="0"/>
        <v>65.32237021121523</v>
      </c>
      <c r="F17">
        <f t="shared" si="1"/>
        <v>2.3435602906193067E-4</v>
      </c>
    </row>
    <row r="18" spans="1:6" x14ac:dyDescent="0.35">
      <c r="A18" t="s">
        <v>10</v>
      </c>
      <c r="B18">
        <v>9</v>
      </c>
      <c r="C18">
        <v>540</v>
      </c>
      <c r="D18">
        <v>463.59519263720898</v>
      </c>
      <c r="E18">
        <f t="shared" si="0"/>
        <v>64.43973177657206</v>
      </c>
      <c r="F18">
        <f t="shared" si="1"/>
        <v>2.4081999991558051E-4</v>
      </c>
    </row>
    <row r="19" spans="1:6" x14ac:dyDescent="0.35">
      <c r="A19" t="s">
        <v>11</v>
      </c>
      <c r="B19">
        <v>10</v>
      </c>
      <c r="C19">
        <v>600</v>
      </c>
      <c r="D19">
        <v>446.63954875402101</v>
      </c>
      <c r="E19">
        <f t="shared" si="0"/>
        <v>62.082897276808929</v>
      </c>
      <c r="F19">
        <f t="shared" si="1"/>
        <v>2.5945141724307294E-4</v>
      </c>
    </row>
    <row r="20" spans="1:6" x14ac:dyDescent="0.35">
      <c r="A20" t="s">
        <v>12</v>
      </c>
      <c r="B20">
        <v>11</v>
      </c>
      <c r="C20">
        <v>660</v>
      </c>
      <c r="D20">
        <v>446.32210198262402</v>
      </c>
      <c r="E20">
        <f t="shared" si="0"/>
        <v>62.038772175584747</v>
      </c>
      <c r="F20">
        <f t="shared" si="1"/>
        <v>2.5982061833967993E-4</v>
      </c>
    </row>
    <row r="21" spans="1:6" x14ac:dyDescent="0.35">
      <c r="A21" t="s">
        <v>14</v>
      </c>
      <c r="B21">
        <v>12</v>
      </c>
      <c r="C21">
        <v>720</v>
      </c>
      <c r="D21">
        <v>420.68996830600099</v>
      </c>
      <c r="E21">
        <f t="shared" si="0"/>
        <v>58.47590559453414</v>
      </c>
      <c r="F21">
        <f t="shared" si="1"/>
        <v>2.9244627059640815E-4</v>
      </c>
    </row>
    <row r="22" spans="1:6" x14ac:dyDescent="0.35">
      <c r="A22" t="s">
        <v>15</v>
      </c>
      <c r="B22">
        <v>13</v>
      </c>
      <c r="C22">
        <v>780</v>
      </c>
      <c r="D22">
        <v>413.143711627789</v>
      </c>
      <c r="E22">
        <f t="shared" si="0"/>
        <v>57.426975916262677</v>
      </c>
      <c r="F22">
        <f t="shared" si="1"/>
        <v>3.0322716519162794E-4</v>
      </c>
    </row>
    <row r="23" spans="1:6" x14ac:dyDescent="0.35">
      <c r="A23" t="s">
        <v>16</v>
      </c>
      <c r="B23">
        <v>14</v>
      </c>
      <c r="C23">
        <v>840</v>
      </c>
      <c r="D23">
        <v>407.49442247132498</v>
      </c>
      <c r="E23">
        <f t="shared" si="0"/>
        <v>56.64172472351418</v>
      </c>
      <c r="F23">
        <f t="shared" si="1"/>
        <v>3.1169300929985791E-4</v>
      </c>
    </row>
    <row r="24" spans="1:6" x14ac:dyDescent="0.35">
      <c r="A24" t="s">
        <v>17</v>
      </c>
      <c r="B24">
        <v>15</v>
      </c>
      <c r="C24">
        <v>900</v>
      </c>
      <c r="D24">
        <v>398.98349566732702</v>
      </c>
      <c r="E24">
        <f t="shared" si="0"/>
        <v>55.458705897758463</v>
      </c>
      <c r="F24">
        <f t="shared" si="1"/>
        <v>3.2513261526910249E-4</v>
      </c>
    </row>
    <row r="25" spans="1:6" x14ac:dyDescent="0.35">
      <c r="A25" t="s">
        <v>18</v>
      </c>
      <c r="B25">
        <v>16</v>
      </c>
      <c r="C25">
        <v>960</v>
      </c>
      <c r="D25">
        <v>381.365191925256</v>
      </c>
      <c r="E25">
        <f t="shared" si="0"/>
        <v>53.009761677610591</v>
      </c>
      <c r="F25">
        <f t="shared" si="1"/>
        <v>3.5586747474255869E-4</v>
      </c>
    </row>
    <row r="26" spans="1:6" x14ac:dyDescent="0.35">
      <c r="A26" t="s">
        <v>19</v>
      </c>
      <c r="B26">
        <v>17</v>
      </c>
      <c r="C26">
        <v>1020</v>
      </c>
      <c r="D26">
        <v>370.07305242413798</v>
      </c>
      <c r="E26">
        <f t="shared" si="0"/>
        <v>51.440154286955185</v>
      </c>
      <c r="F26">
        <f t="shared" si="1"/>
        <v>3.7791617032563983E-4</v>
      </c>
    </row>
    <row r="27" spans="1:6" x14ac:dyDescent="0.35">
      <c r="A27" t="s">
        <v>20</v>
      </c>
      <c r="B27">
        <v>18</v>
      </c>
      <c r="C27">
        <v>1080</v>
      </c>
      <c r="D27">
        <v>361.587464042183</v>
      </c>
      <c r="E27">
        <f t="shared" si="0"/>
        <v>50.260657501863442</v>
      </c>
      <c r="F27">
        <f t="shared" si="1"/>
        <v>3.9586186707425518E-4</v>
      </c>
    </row>
    <row r="28" spans="1:6" x14ac:dyDescent="0.35">
      <c r="A28" t="s">
        <v>21</v>
      </c>
      <c r="B28">
        <v>19</v>
      </c>
      <c r="C28">
        <v>1140</v>
      </c>
      <c r="D28">
        <v>345.60137762609401</v>
      </c>
      <c r="E28">
        <f t="shared" si="0"/>
        <v>48.038591490027073</v>
      </c>
      <c r="F28">
        <f t="shared" si="1"/>
        <v>4.3333071109761964E-4</v>
      </c>
    </row>
    <row r="29" spans="1:6" x14ac:dyDescent="0.35">
      <c r="A29" t="s">
        <v>22</v>
      </c>
      <c r="B29">
        <v>20</v>
      </c>
      <c r="C29">
        <v>1200</v>
      </c>
      <c r="D29">
        <v>334.48514307449898</v>
      </c>
      <c r="E29">
        <f t="shared" si="0"/>
        <v>46.493434887355363</v>
      </c>
      <c r="F29">
        <f t="shared" si="1"/>
        <v>4.6261183038380629E-4</v>
      </c>
    </row>
    <row r="30" spans="1:6" x14ac:dyDescent="0.35">
      <c r="A30" t="s">
        <v>23</v>
      </c>
      <c r="B30">
        <v>21</v>
      </c>
      <c r="C30">
        <v>1260</v>
      </c>
      <c r="D30">
        <v>323.18641705903599</v>
      </c>
      <c r="E30">
        <f t="shared" si="0"/>
        <v>44.922911971206005</v>
      </c>
      <c r="F30">
        <f t="shared" si="1"/>
        <v>4.9552343632773891E-4</v>
      </c>
    </row>
    <row r="31" spans="1:6" x14ac:dyDescent="0.35">
      <c r="A31" t="s">
        <v>25</v>
      </c>
      <c r="B31">
        <v>22</v>
      </c>
      <c r="C31">
        <v>1320</v>
      </c>
      <c r="D31">
        <v>312.76873451781699</v>
      </c>
      <c r="E31">
        <f t="shared" si="0"/>
        <v>43.474854097976568</v>
      </c>
      <c r="F31">
        <f t="shared" si="1"/>
        <v>5.29082910124438E-4</v>
      </c>
    </row>
    <row r="32" spans="1:6" x14ac:dyDescent="0.35">
      <c r="A32" t="s">
        <v>26</v>
      </c>
      <c r="B32">
        <v>23</v>
      </c>
      <c r="C32">
        <v>1380</v>
      </c>
      <c r="D32">
        <v>302.85853399408097</v>
      </c>
      <c r="E32">
        <f t="shared" si="0"/>
        <v>42.097336225177258</v>
      </c>
      <c r="F32">
        <f t="shared" si="1"/>
        <v>5.6427494605282345E-4</v>
      </c>
    </row>
    <row r="33" spans="1:6" x14ac:dyDescent="0.35">
      <c r="A33" t="s">
        <v>27</v>
      </c>
      <c r="B33">
        <v>24</v>
      </c>
      <c r="C33">
        <v>1440</v>
      </c>
      <c r="D33">
        <v>292.117541855544</v>
      </c>
      <c r="E33">
        <f t="shared" si="0"/>
        <v>40.604338317920622</v>
      </c>
      <c r="F33">
        <f t="shared" si="1"/>
        <v>6.0653396345869588E-4</v>
      </c>
    </row>
    <row r="34" spans="1:6" x14ac:dyDescent="0.35">
      <c r="A34" t="s">
        <v>28</v>
      </c>
      <c r="B34">
        <v>25</v>
      </c>
      <c r="C34">
        <v>1500</v>
      </c>
      <c r="D34">
        <v>283.42481135742401</v>
      </c>
      <c r="E34">
        <f t="shared" si="0"/>
        <v>39.396048778681937</v>
      </c>
      <c r="F34">
        <f t="shared" si="1"/>
        <v>6.4430969606612848E-4</v>
      </c>
    </row>
    <row r="35" spans="1:6" x14ac:dyDescent="0.35">
      <c r="A35" t="s">
        <v>29</v>
      </c>
      <c r="B35">
        <v>26</v>
      </c>
      <c r="C35">
        <v>1560</v>
      </c>
      <c r="D35">
        <v>284.10402085240599</v>
      </c>
      <c r="E35">
        <f t="shared" si="0"/>
        <v>39.490458898484434</v>
      </c>
      <c r="F35">
        <f t="shared" si="1"/>
        <v>6.412326670973815E-4</v>
      </c>
    </row>
    <row r="36" spans="1:6" x14ac:dyDescent="0.35">
      <c r="A36" t="s">
        <v>30</v>
      </c>
      <c r="B36">
        <v>27</v>
      </c>
      <c r="C36">
        <v>1620</v>
      </c>
      <c r="D36">
        <v>277.02112823978399</v>
      </c>
      <c r="E36">
        <f t="shared" si="0"/>
        <v>38.505936825329975</v>
      </c>
      <c r="F36">
        <f t="shared" si="1"/>
        <v>6.7444200695605989E-4</v>
      </c>
    </row>
    <row r="37" spans="1:6" x14ac:dyDescent="0.35">
      <c r="A37" t="s">
        <v>31</v>
      </c>
      <c r="B37">
        <v>28</v>
      </c>
      <c r="C37">
        <v>1680</v>
      </c>
      <c r="D37">
        <v>272.47359182796703</v>
      </c>
      <c r="E37">
        <f t="shared" si="0"/>
        <v>37.873829264087419</v>
      </c>
      <c r="F37">
        <f t="shared" si="1"/>
        <v>6.9714251031931891E-4</v>
      </c>
    </row>
    <row r="38" spans="1:6" x14ac:dyDescent="0.35">
      <c r="A38" t="s">
        <v>32</v>
      </c>
      <c r="B38">
        <v>29</v>
      </c>
      <c r="C38">
        <v>1740</v>
      </c>
      <c r="D38">
        <v>267.47677248039003</v>
      </c>
      <c r="E38">
        <f t="shared" si="0"/>
        <v>37.179271374774217</v>
      </c>
      <c r="F38">
        <f t="shared" si="1"/>
        <v>7.2343289281641735E-4</v>
      </c>
    </row>
    <row r="39" spans="1:6" x14ac:dyDescent="0.35">
      <c r="A39" t="s">
        <v>33</v>
      </c>
      <c r="B39">
        <v>30</v>
      </c>
      <c r="C39">
        <v>1800</v>
      </c>
      <c r="D39">
        <v>229.07398143964801</v>
      </c>
      <c r="E39">
        <f t="shared" si="0"/>
        <v>31.841283420111075</v>
      </c>
      <c r="F39">
        <f t="shared" si="1"/>
        <v>9.8632234274475422E-4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Differenz_Spline_Linear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Brügger</dc:creator>
  <cp:lastModifiedBy>Julian Bruegger</cp:lastModifiedBy>
  <dcterms:created xsi:type="dcterms:W3CDTF">2026-01-14T22:27:26Z</dcterms:created>
  <dcterms:modified xsi:type="dcterms:W3CDTF">2026-01-14T22:33:04Z</dcterms:modified>
</cp:coreProperties>
</file>