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7\OneDrive\Desktop\Protokolle\PC2\Diff\DIFF\NaCl\"/>
    </mc:Choice>
  </mc:AlternateContent>
  <xr:revisionPtr revIDLastSave="0" documentId="13_ncr:1_{D6B2B0FB-94F5-43E6-908B-95437FC1DB7C}" xr6:coauthVersionLast="47" xr6:coauthVersionMax="47" xr10:uidLastSave="{00000000-0000-0000-0000-000000000000}"/>
  <bookViews>
    <workbookView xWindow="28680" yWindow="-120" windowWidth="29040" windowHeight="15840" xr2:uid="{D97557AE-1E74-4622-A1F1-40C8E0AC9EC9}"/>
  </bookViews>
  <sheets>
    <sheet name="Differenz_Spline_Linear_Na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10" i="1"/>
  <c r="G14" i="1"/>
  <c r="F3" i="1"/>
  <c r="G3" i="1" s="1"/>
  <c r="F4" i="1"/>
  <c r="G4" i="1" s="1"/>
  <c r="F5" i="1"/>
  <c r="G5" i="1" s="1"/>
  <c r="F6" i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F15" i="1"/>
  <c r="G15" i="1" s="1"/>
  <c r="F2" i="1"/>
  <c r="G2" i="1" s="1"/>
</calcChain>
</file>

<file path=xl/sharedStrings.xml><?xml version="1.0" encoding="utf-8"?>
<sst xmlns="http://schemas.openxmlformats.org/spreadsheetml/2006/main" count="20" uniqueCount="20">
  <si>
    <t>Datei</t>
  </si>
  <si>
    <t>time</t>
  </si>
  <si>
    <t>Delta_y</t>
  </si>
  <si>
    <t>NaCl00001_00.dat</t>
  </si>
  <si>
    <t>NaCl00002.dat</t>
  </si>
  <si>
    <t>NaCl00003.dat</t>
  </si>
  <si>
    <t>NaCl00004.dat</t>
  </si>
  <si>
    <t>NaCl00005.dat</t>
  </si>
  <si>
    <t>NaCl00006.dat</t>
  </si>
  <si>
    <t>NaCl00007.dat</t>
  </si>
  <si>
    <t>NaCl00008.dat</t>
  </si>
  <si>
    <t>NaCl00009.dat</t>
  </si>
  <si>
    <t>NaCl00010.dat</t>
  </si>
  <si>
    <t>NaCl00011.dat</t>
  </si>
  <si>
    <t>NaCl00012.dat</t>
  </si>
  <si>
    <t>NaCl00013.dat</t>
  </si>
  <si>
    <t>NaCl00014.dat</t>
  </si>
  <si>
    <t>z / m</t>
  </si>
  <si>
    <t>z / mm</t>
  </si>
  <si>
    <t>z^-2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</si>
</sst>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995997375328083"/>
                  <c:y val="0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de-DE" sz="900" b="0" i="0" u="none" strike="noStrike" baseline="0">
                        <a:effectLst/>
                      </a:rPr>
                      <a:t>Z</a:t>
                    </a:r>
                    <a:r>
                      <a:rPr lang="de-DE" sz="900" b="0" i="0" u="none" strike="noStrike" baseline="30000">
                        <a:effectLst/>
                      </a:rPr>
                      <a:t>-2</a:t>
                    </a:r>
                    <a:r>
                      <a:rPr lang="de-DE" sz="900" b="0" i="0" u="none" strike="noStrike" baseline="0">
                        <a:effectLst/>
                      </a:rPr>
                      <a:t> </a:t>
                    </a:r>
                    <a:r>
                      <a:rPr lang="de-DE" baseline="0"/>
                      <a:t> = 8.98t + 1909.2</a:t>
                    </a:r>
                    <a:br>
                      <a:rPr lang="de-DE" baseline="0"/>
                    </a:br>
                    <a:r>
                      <a:rPr lang="de-DE" baseline="0"/>
                      <a:t>R² = 0.9948</a:t>
                    </a:r>
                    <a:endParaRPr lang="de-DE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Differenz_Spline_Linear_NaCl!$C$2:$C$15</c:f>
              <c:numCache>
                <c:formatCode>General</c:formatCode>
                <c:ptCount val="14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</c:numCache>
            </c:numRef>
          </c:xVal>
          <c:yVal>
            <c:numRef>
              <c:f>Differenz_Spline_Linear_NaCl!$G$2:$G$15</c:f>
              <c:numCache>
                <c:formatCode>General</c:formatCode>
                <c:ptCount val="14"/>
                <c:pt idx="0">
                  <c:v>1586.414345478642</c:v>
                </c:pt>
                <c:pt idx="1">
                  <c:v>2371.334774876982</c:v>
                </c:pt>
                <c:pt idx="2">
                  <c:v>3038.2729750150152</c:v>
                </c:pt>
                <c:pt idx="3">
                  <c:v>3567.8270135277785</c:v>
                </c:pt>
                <c:pt idx="4">
                  <c:v>4233.8306733149093</c:v>
                </c:pt>
                <c:pt idx="5">
                  <c:v>4745.5832852223966</c:v>
                </c:pt>
                <c:pt idx="6">
                  <c:v>5408.1441693504366</c:v>
                </c:pt>
                <c:pt idx="7">
                  <c:v>5877.0410503557814</c:v>
                </c:pt>
                <c:pt idx="8">
                  <c:v>6080.560482989632</c:v>
                </c:pt>
                <c:pt idx="9">
                  <c:v>6597.8315183423756</c:v>
                </c:pt>
                <c:pt idx="10">
                  <c:v>7338.841188947019</c:v>
                </c:pt>
                <c:pt idx="11">
                  <c:v>7686.2952366988457</c:v>
                </c:pt>
                <c:pt idx="12">
                  <c:v>8310.7991384492616</c:v>
                </c:pt>
                <c:pt idx="13">
                  <c:v>8916.9066272831024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6-4BC8-A5F4-DECA13F7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932367"/>
        <c:axId val="2054933327"/>
      </c:scatterChart>
      <c:valAx>
        <c:axId val="205493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/>
                  <a:t>time</a:t>
                </a:r>
                <a:r>
                  <a:rPr lang="de-DE" sz="1200" baseline="0"/>
                  <a:t>  / s</a:t>
                </a:r>
                <a:endParaRPr lang="de-DE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4933327"/>
        <c:crosses val="autoZero"/>
        <c:crossBetween val="midCat"/>
      </c:valAx>
      <c:valAx>
        <c:axId val="2054933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Z</a:t>
                </a:r>
                <a:r>
                  <a:rPr lang="de-DE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-2</a:t>
                </a: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/ m</a:t>
                </a:r>
                <a:r>
                  <a:rPr lang="de-DE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-2</a:t>
                </a:r>
                <a:endParaRPr lang="de-DE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54932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12</xdr:row>
      <xdr:rowOff>14287</xdr:rowOff>
    </xdr:from>
    <xdr:to>
      <xdr:col>14</xdr:col>
      <xdr:colOff>533400</xdr:colOff>
      <xdr:row>27</xdr:row>
      <xdr:rowOff>42862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7611A32-572E-01A4-B015-124065D6B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6C72-0052-48D3-9D58-78EA57341E54}">
  <dimension ref="A1:G15"/>
  <sheetViews>
    <sheetView tabSelected="1" workbookViewId="0">
      <selection activeCell="G29" sqref="G29"/>
    </sheetView>
  </sheetViews>
  <sheetFormatPr baseColWidth="10" defaultRowHeight="14.5" x14ac:dyDescent="0.35"/>
  <sheetData>
    <row r="1" spans="1:7" x14ac:dyDescent="0.35">
      <c r="A1" t="s">
        <v>0</v>
      </c>
      <c r="C1" t="s">
        <v>1</v>
      </c>
      <c r="D1" t="s">
        <v>2</v>
      </c>
      <c r="E1" t="s">
        <v>18</v>
      </c>
      <c r="F1" t="s">
        <v>17</v>
      </c>
      <c r="G1" t="s">
        <v>19</v>
      </c>
    </row>
    <row r="2" spans="1:7" x14ac:dyDescent="0.35">
      <c r="A2" t="s">
        <v>3</v>
      </c>
      <c r="C2">
        <v>0</v>
      </c>
      <c r="D2">
        <v>180.62459469999999</v>
      </c>
      <c r="E2">
        <v>25.106818659999998</v>
      </c>
      <c r="F2">
        <f>E2/1000</f>
        <v>2.5106818659999999E-2</v>
      </c>
      <c r="G2">
        <f>F2^-2</f>
        <v>1586.414345478642</v>
      </c>
    </row>
    <row r="3" spans="1:7" x14ac:dyDescent="0.35">
      <c r="A3" t="s">
        <v>4</v>
      </c>
      <c r="C3">
        <v>60</v>
      </c>
      <c r="D3">
        <v>147.7368261</v>
      </c>
      <c r="E3">
        <v>20.535418830000001</v>
      </c>
      <c r="F3">
        <f t="shared" ref="F3:F15" si="0">E3/1000</f>
        <v>2.0535418830000002E-2</v>
      </c>
      <c r="G3">
        <f t="shared" ref="G3:G15" si="1">F3^-2</f>
        <v>2371.334774876982</v>
      </c>
    </row>
    <row r="4" spans="1:7" x14ac:dyDescent="0.35">
      <c r="A4" t="s">
        <v>5</v>
      </c>
      <c r="C4">
        <v>120</v>
      </c>
      <c r="D4">
        <v>130.51841899999999</v>
      </c>
      <c r="E4">
        <v>18.142060239999999</v>
      </c>
      <c r="F4">
        <f t="shared" si="0"/>
        <v>1.8142060240000001E-2</v>
      </c>
      <c r="G4">
        <f t="shared" si="1"/>
        <v>3038.2729750150152</v>
      </c>
    </row>
    <row r="5" spans="1:7" x14ac:dyDescent="0.35">
      <c r="A5" t="s">
        <v>6</v>
      </c>
      <c r="C5">
        <v>180</v>
      </c>
      <c r="D5">
        <v>120.4434827</v>
      </c>
      <c r="E5">
        <v>16.741644099999998</v>
      </c>
      <c r="F5">
        <f t="shared" si="0"/>
        <v>1.6741644099999998E-2</v>
      </c>
      <c r="G5">
        <f t="shared" si="1"/>
        <v>3567.8270135277785</v>
      </c>
    </row>
    <row r="6" spans="1:7" x14ac:dyDescent="0.35">
      <c r="A6" t="s">
        <v>7</v>
      </c>
      <c r="C6">
        <v>240</v>
      </c>
      <c r="D6">
        <v>110.5652003</v>
      </c>
      <c r="E6">
        <v>15.36856285</v>
      </c>
      <c r="F6">
        <f t="shared" si="0"/>
        <v>1.536856285E-2</v>
      </c>
      <c r="G6">
        <f t="shared" si="1"/>
        <v>4233.8306733149093</v>
      </c>
    </row>
    <row r="7" spans="1:7" x14ac:dyDescent="0.35">
      <c r="A7" t="s">
        <v>8</v>
      </c>
      <c r="C7">
        <v>300</v>
      </c>
      <c r="D7">
        <v>104.4336362</v>
      </c>
      <c r="E7">
        <v>14.516275439999999</v>
      </c>
      <c r="F7">
        <f t="shared" si="0"/>
        <v>1.4516275439999999E-2</v>
      </c>
      <c r="G7">
        <f t="shared" si="1"/>
        <v>4745.5832852223966</v>
      </c>
    </row>
    <row r="8" spans="1:7" x14ac:dyDescent="0.35">
      <c r="A8" t="s">
        <v>9</v>
      </c>
      <c r="C8">
        <v>360</v>
      </c>
      <c r="D8">
        <v>97.827525750000007</v>
      </c>
      <c r="E8">
        <v>13.59802608</v>
      </c>
      <c r="F8">
        <f t="shared" si="0"/>
        <v>1.3598026080000001E-2</v>
      </c>
      <c r="G8">
        <f t="shared" si="1"/>
        <v>5408.1441693504366</v>
      </c>
    </row>
    <row r="9" spans="1:7" x14ac:dyDescent="0.35">
      <c r="A9" t="s">
        <v>10</v>
      </c>
      <c r="C9">
        <v>420</v>
      </c>
      <c r="D9">
        <v>93.843854570000005</v>
      </c>
      <c r="E9">
        <v>13.044295780000001</v>
      </c>
      <c r="F9">
        <f t="shared" si="0"/>
        <v>1.3044295780000001E-2</v>
      </c>
      <c r="G9">
        <f t="shared" si="1"/>
        <v>5877.0410503557814</v>
      </c>
    </row>
    <row r="10" spans="1:7" x14ac:dyDescent="0.35">
      <c r="A10" t="s">
        <v>11</v>
      </c>
      <c r="C10">
        <v>480</v>
      </c>
      <c r="D10">
        <v>92.259987890000005</v>
      </c>
      <c r="E10">
        <v>12.824138319999999</v>
      </c>
      <c r="F10">
        <f t="shared" si="0"/>
        <v>1.2824138319999999E-2</v>
      </c>
      <c r="G10">
        <f t="shared" si="1"/>
        <v>6080.560482989632</v>
      </c>
    </row>
    <row r="11" spans="1:7" x14ac:dyDescent="0.35">
      <c r="A11" t="s">
        <v>12</v>
      </c>
      <c r="C11">
        <v>540</v>
      </c>
      <c r="D11">
        <v>88.569580779999995</v>
      </c>
      <c r="E11">
        <v>12.31117173</v>
      </c>
      <c r="F11">
        <f t="shared" si="0"/>
        <v>1.2311171730000001E-2</v>
      </c>
      <c r="G11">
        <f t="shared" si="1"/>
        <v>6597.8315183423756</v>
      </c>
    </row>
    <row r="12" spans="1:7" x14ac:dyDescent="0.35">
      <c r="A12" t="s">
        <v>13</v>
      </c>
      <c r="C12">
        <v>600</v>
      </c>
      <c r="D12">
        <v>83.979146170000007</v>
      </c>
      <c r="E12">
        <v>11.673101320000001</v>
      </c>
      <c r="F12">
        <f t="shared" si="0"/>
        <v>1.167310132E-2</v>
      </c>
      <c r="G12">
        <f t="shared" si="1"/>
        <v>7338.841188947019</v>
      </c>
    </row>
    <row r="13" spans="1:7" x14ac:dyDescent="0.35">
      <c r="A13" t="s">
        <v>14</v>
      </c>
      <c r="C13">
        <v>660</v>
      </c>
      <c r="D13">
        <v>82.059084760000005</v>
      </c>
      <c r="E13">
        <v>11.406212780000001</v>
      </c>
      <c r="F13">
        <f t="shared" si="0"/>
        <v>1.1406212780000001E-2</v>
      </c>
      <c r="G13">
        <f t="shared" si="1"/>
        <v>7686.2952366988457</v>
      </c>
    </row>
    <row r="14" spans="1:7" x14ac:dyDescent="0.35">
      <c r="A14" t="s">
        <v>15</v>
      </c>
      <c r="C14">
        <v>720</v>
      </c>
      <c r="D14">
        <v>78.915771539999994</v>
      </c>
      <c r="E14">
        <v>10.96929224</v>
      </c>
      <c r="F14">
        <f t="shared" si="0"/>
        <v>1.0969292239999999E-2</v>
      </c>
      <c r="G14">
        <f t="shared" si="1"/>
        <v>8310.7991384492616</v>
      </c>
    </row>
    <row r="15" spans="1:7" x14ac:dyDescent="0.35">
      <c r="A15" t="s">
        <v>16</v>
      </c>
      <c r="C15">
        <v>780</v>
      </c>
      <c r="D15">
        <v>76.186511850000002</v>
      </c>
      <c r="E15">
        <v>10.589925149999999</v>
      </c>
      <c r="F15">
        <f t="shared" si="0"/>
        <v>1.0589925149999999E-2</v>
      </c>
      <c r="G15">
        <f t="shared" si="1"/>
        <v>8916.9066272831024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Differenz_Spline_Linear_NaCl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Brügger</dc:creator>
  <cp:lastModifiedBy>Julian Bruegger</cp:lastModifiedBy>
  <dcterms:created xsi:type="dcterms:W3CDTF">2026-01-19T20:32:47Z</dcterms:created>
  <dcterms:modified xsi:type="dcterms:W3CDTF">2026-01-19T20:38:58Z</dcterms:modified>
</cp:coreProperties>
</file>