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5. Semester\AC II lab\Protokolle\PC2\MDGE\Argon\"/>
    </mc:Choice>
  </mc:AlternateContent>
  <xr:revisionPtr revIDLastSave="0" documentId="13_ncr:1_{C54BDBEB-8FB2-449F-B590-5FC745CC786B}" xr6:coauthVersionLast="47" xr6:coauthVersionMax="47" xr10:uidLastSave="{00000000-0000-0000-0000-000000000000}"/>
  <bookViews>
    <workbookView xWindow="-108" yWindow="-108" windowWidth="23256" windowHeight="12456" xr2:uid="{BB391474-3FBC-4011-8610-F4BFDA75DF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2" i="1"/>
  <c r="H2" i="1"/>
  <c r="H47" i="1"/>
  <c r="I47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I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G2" i="1"/>
  <c r="F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E2" i="1"/>
  <c r="D2" i="1"/>
</calcChain>
</file>

<file path=xl/sharedStrings.xml><?xml version="1.0" encoding="utf-8"?>
<sst xmlns="http://schemas.openxmlformats.org/spreadsheetml/2006/main" count="13" uniqueCount="13">
  <si>
    <t>t / s</t>
  </si>
  <si>
    <t>p Ar / Torr</t>
  </si>
  <si>
    <t>p Ar / 0.1 bar</t>
  </si>
  <si>
    <t>p N2 / 0.1 bar</t>
  </si>
  <si>
    <t>p N2 / Torr</t>
  </si>
  <si>
    <t>p Ar / bar</t>
  </si>
  <si>
    <t>Ar korr</t>
  </si>
  <si>
    <t>N2 korr</t>
  </si>
  <si>
    <t>p N / bar</t>
  </si>
  <si>
    <t>T (aus pN2) K</t>
  </si>
  <si>
    <t>1/T 1/K</t>
  </si>
  <si>
    <t>Ln pAr</t>
  </si>
  <si>
    <t>y = -1001,4x + 11,616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</si>
</sst>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H_sub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Tabelle1!$K$2:$K$47</c:f>
              <c:numCache>
                <c:formatCode>General</c:formatCode>
                <c:ptCount val="46"/>
                <c:pt idx="0">
                  <c:v>1.5651747744648028E-2</c:v>
                </c:pt>
                <c:pt idx="1">
                  <c:v>1.5599449520155384E-2</c:v>
                </c:pt>
                <c:pt idx="2">
                  <c:v>1.5603120759560933E-2</c:v>
                </c:pt>
                <c:pt idx="3">
                  <c:v>1.5570422296715083E-2</c:v>
                </c:pt>
                <c:pt idx="4">
                  <c:v>1.5430450147161344E-2</c:v>
                </c:pt>
                <c:pt idx="5">
                  <c:v>1.5322638979455769E-2</c:v>
                </c:pt>
                <c:pt idx="6">
                  <c:v>1.5245832994421555E-2</c:v>
                </c:pt>
                <c:pt idx="7">
                  <c:v>1.5176400334812471E-2</c:v>
                </c:pt>
                <c:pt idx="8">
                  <c:v>1.5099298168031385E-2</c:v>
                </c:pt>
                <c:pt idx="9">
                  <c:v>1.5020133684250005E-2</c:v>
                </c:pt>
                <c:pt idx="10">
                  <c:v>1.4943464978934973E-2</c:v>
                </c:pt>
                <c:pt idx="11">
                  <c:v>1.4867488400156531E-2</c:v>
                </c:pt>
                <c:pt idx="12">
                  <c:v>1.479075378509968E-2</c:v>
                </c:pt>
                <c:pt idx="13">
                  <c:v>1.471553173223898E-2</c:v>
                </c:pt>
                <c:pt idx="14">
                  <c:v>1.4643182760605595E-2</c:v>
                </c:pt>
                <c:pt idx="15">
                  <c:v>1.4564223303587299E-2</c:v>
                </c:pt>
                <c:pt idx="16">
                  <c:v>1.4493183577899868E-2</c:v>
                </c:pt>
                <c:pt idx="17">
                  <c:v>1.4417989766500463E-2</c:v>
                </c:pt>
                <c:pt idx="18">
                  <c:v>1.4346952636355303E-2</c:v>
                </c:pt>
                <c:pt idx="19">
                  <c:v>1.4279294461686621E-2</c:v>
                </c:pt>
                <c:pt idx="20">
                  <c:v>1.420888222297243E-2</c:v>
                </c:pt>
                <c:pt idx="21">
                  <c:v>1.4141456974085666E-2</c:v>
                </c:pt>
                <c:pt idx="22">
                  <c:v>1.4078943171304058E-2</c:v>
                </c:pt>
                <c:pt idx="23">
                  <c:v>1.4016357339010604E-2</c:v>
                </c:pt>
                <c:pt idx="24">
                  <c:v>1.3954103340265946E-2</c:v>
                </c:pt>
                <c:pt idx="25">
                  <c:v>1.38897842964079E-2</c:v>
                </c:pt>
                <c:pt idx="26">
                  <c:v>1.3830846697364957E-2</c:v>
                </c:pt>
                <c:pt idx="27">
                  <c:v>1.3763421318286766E-2</c:v>
                </c:pt>
                <c:pt idx="28">
                  <c:v>1.3713456258383067E-2</c:v>
                </c:pt>
                <c:pt idx="29">
                  <c:v>1.3659562491644121E-2</c:v>
                </c:pt>
                <c:pt idx="30">
                  <c:v>1.3603121305345989E-2</c:v>
                </c:pt>
                <c:pt idx="31">
                  <c:v>1.3552909950467866E-2</c:v>
                </c:pt>
                <c:pt idx="32">
                  <c:v>1.3499995436021379E-2</c:v>
                </c:pt>
                <c:pt idx="33">
                  <c:v>1.3447336682252163E-2</c:v>
                </c:pt>
                <c:pt idx="34">
                  <c:v>1.3398274158209008E-2</c:v>
                </c:pt>
                <c:pt idx="35">
                  <c:v>1.3350251966524595E-2</c:v>
                </c:pt>
                <c:pt idx="36">
                  <c:v>1.3303402342185274E-2</c:v>
                </c:pt>
                <c:pt idx="37">
                  <c:v>1.3257132323485413E-2</c:v>
                </c:pt>
                <c:pt idx="38">
                  <c:v>1.3212116663145129E-2</c:v>
                </c:pt>
                <c:pt idx="39">
                  <c:v>1.3169613110121889E-2</c:v>
                </c:pt>
                <c:pt idx="40">
                  <c:v>1.312815134739201E-2</c:v>
                </c:pt>
                <c:pt idx="41">
                  <c:v>1.3087677158064142E-2</c:v>
                </c:pt>
                <c:pt idx="42">
                  <c:v>1.3040968522659607E-2</c:v>
                </c:pt>
                <c:pt idx="43">
                  <c:v>1.3001768207115554E-2</c:v>
                </c:pt>
                <c:pt idx="44">
                  <c:v>1.2961857812183928E-2</c:v>
                </c:pt>
                <c:pt idx="45">
                  <c:v>1.2921460616125865E-2</c:v>
                </c:pt>
              </c:numCache>
            </c:numRef>
          </c:xVal>
          <c:yVal>
            <c:numRef>
              <c:f>Tabelle1!$L$2:$L$47</c:f>
              <c:numCache>
                <c:formatCode>General</c:formatCode>
                <c:ptCount val="46"/>
                <c:pt idx="0">
                  <c:v>-4.1733877695625532</c:v>
                </c:pt>
                <c:pt idx="1">
                  <c:v>-4.0398563769380305</c:v>
                </c:pt>
                <c:pt idx="2">
                  <c:v>-4.0398563769380305</c:v>
                </c:pt>
                <c:pt idx="3">
                  <c:v>-4.0118433407103566</c:v>
                </c:pt>
                <c:pt idx="4">
                  <c:v>-3.8076629901039034</c:v>
                </c:pt>
                <c:pt idx="5">
                  <c:v>-3.7050088360438198</c:v>
                </c:pt>
                <c:pt idx="6">
                  <c:v>-3.6193533914653258</c:v>
                </c:pt>
                <c:pt idx="7">
                  <c:v>-3.5508581562165618</c:v>
                </c:pt>
                <c:pt idx="8">
                  <c:v>-3.486755270023802</c:v>
                </c:pt>
                <c:pt idx="9">
                  <c:v>-3.4021978819957388</c:v>
                </c:pt>
                <c:pt idx="10">
                  <c:v>-3.3639015969184585</c:v>
                </c:pt>
                <c:pt idx="11">
                  <c:v>-3.2570970376883985</c:v>
                </c:pt>
                <c:pt idx="12">
                  <c:v>-3.1772541501773812</c:v>
                </c:pt>
                <c:pt idx="13">
                  <c:v>-3.1055471395611973</c:v>
                </c:pt>
                <c:pt idx="14">
                  <c:v>-3.0344731018704216</c:v>
                </c:pt>
                <c:pt idx="15">
                  <c:v>-2.9584364888102939</c:v>
                </c:pt>
                <c:pt idx="16">
                  <c:v>-2.8735146408297418</c:v>
                </c:pt>
                <c:pt idx="17">
                  <c:v>-2.8067661740413676</c:v>
                </c:pt>
                <c:pt idx="18">
                  <c:v>-2.7364496756239078</c:v>
                </c:pt>
                <c:pt idx="19">
                  <c:v>-2.6707544163585131</c:v>
                </c:pt>
                <c:pt idx="20">
                  <c:v>-2.5996443272584235</c:v>
                </c:pt>
                <c:pt idx="21">
                  <c:v>-2.528231774526374</c:v>
                </c:pt>
                <c:pt idx="22">
                  <c:v>-2.4674597361842796</c:v>
                </c:pt>
                <c:pt idx="23">
                  <c:v>-2.4146345968026686</c:v>
                </c:pt>
                <c:pt idx="24">
                  <c:v>-2.3465369805232283</c:v>
                </c:pt>
                <c:pt idx="25">
                  <c:v>-2.2886821878250543</c:v>
                </c:pt>
                <c:pt idx="26">
                  <c:v>-2.2284056948197941</c:v>
                </c:pt>
                <c:pt idx="27">
                  <c:v>-2.1663074747014979</c:v>
                </c:pt>
                <c:pt idx="28">
                  <c:v>-2.1094884630321324</c:v>
                </c:pt>
                <c:pt idx="29">
                  <c:v>-2.0533840073605463</c:v>
                </c:pt>
                <c:pt idx="30">
                  <c:v>-1.9987836386623814</c:v>
                </c:pt>
                <c:pt idx="31">
                  <c:v>-1.9568699892916552</c:v>
                </c:pt>
                <c:pt idx="32">
                  <c:v>-1.8991219875565544</c:v>
                </c:pt>
                <c:pt idx="33">
                  <c:v>-1.8515094736338289</c:v>
                </c:pt>
                <c:pt idx="34">
                  <c:v>-1.7999932741551585</c:v>
                </c:pt>
                <c:pt idx="35">
                  <c:v>-1.7561992938295041</c:v>
                </c:pt>
                <c:pt idx="36">
                  <c:v>-1.7076021612213317</c:v>
                </c:pt>
                <c:pt idx="37">
                  <c:v>-1.6623114020411685</c:v>
                </c:pt>
                <c:pt idx="38">
                  <c:v>-1.6570537663757636</c:v>
                </c:pt>
                <c:pt idx="39">
                  <c:v>-1.579879110192556</c:v>
                </c:pt>
                <c:pt idx="40">
                  <c:v>-1.5385135740974016</c:v>
                </c:pt>
                <c:pt idx="41">
                  <c:v>-1.4956628981752556</c:v>
                </c:pt>
                <c:pt idx="42">
                  <c:v>-1.4524341636244353</c:v>
                </c:pt>
                <c:pt idx="43">
                  <c:v>-1.4138711288901249</c:v>
                </c:pt>
                <c:pt idx="44">
                  <c:v>-1.3775328554513178</c:v>
                </c:pt>
                <c:pt idx="45">
                  <c:v>-1.3413209954771594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65E-4DED-8B3C-D7098F170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507599"/>
        <c:axId val="1234508559"/>
      </c:scatterChart>
      <c:valAx>
        <c:axId val="1234507599"/>
        <c:scaling>
          <c:orientation val="minMax"/>
          <c:min val="1.250000000000000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1/T [1/K]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4508559"/>
        <c:crosses val="autoZero"/>
        <c:crossBetween val="midCat"/>
      </c:valAx>
      <c:valAx>
        <c:axId val="1234508559"/>
        <c:scaling>
          <c:orientation val="minMax"/>
          <c:max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Ln(p)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4507599"/>
        <c:crosses val="autoZero"/>
        <c:crossBetween val="midCat"/>
        <c:majorUnit val="0.5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388620</xdr:colOff>
      <xdr:row>3</xdr:row>
      <xdr:rowOff>163830</xdr:rowOff>
    </xdr:from>
    <xdr:to>
      <xdr:col>18</xdr:col>
      <xdr:colOff>205740</xdr:colOff>
      <xdr:row>18</xdr:row>
      <xdr:rowOff>163830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625541-3356-D82F-A2AD-6F24D9B8A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E75E-7BBB-4868-AE4E-3077389C1B78}">
  <dimension ref="A1:P47"/>
  <sheetViews>
    <sheetView tabSelected="1" topLeftCell="G1" workbookViewId="0">
      <selection activeCell="O23" sqref="O23"/>
    </sheetView>
  </sheetViews>
  <sheetFormatPr baseColWidth="10" defaultRowHeight="14.4" x14ac:dyDescent="0.3"/>
  <cols>
    <col min="3" max="3" width="11.5546875" style="1"/>
  </cols>
  <sheetData>
    <row r="1" spans="1:12" x14ac:dyDescent="0.3">
      <c r="A1" t="s">
        <v>0</v>
      </c>
      <c r="B1" t="s">
        <v>2</v>
      </c>
      <c r="C1" s="1" t="s">
        <v>3</v>
      </c>
      <c r="D1" t="s">
        <v>6</v>
      </c>
      <c r="E1" s="1" t="s">
        <v>7</v>
      </c>
      <c r="F1" t="s">
        <v>5</v>
      </c>
      <c r="G1" t="s">
        <v>8</v>
      </c>
      <c r="H1" t="s">
        <v>1</v>
      </c>
      <c r="I1" t="s">
        <v>4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0.16</v>
      </c>
      <c r="C2" s="1">
        <v>1.45</v>
      </c>
      <c r="D2">
        <f>B2-0.006</f>
        <v>0.154</v>
      </c>
      <c r="E2">
        <f>C2-0.006</f>
        <v>1.444</v>
      </c>
      <c r="F2">
        <f>D2*0.1</f>
        <v>1.54E-2</v>
      </c>
      <c r="G2">
        <f>E2*0.1</f>
        <v>0.1444</v>
      </c>
      <c r="H2">
        <f>F2*750.062</f>
        <v>11.550954800000001</v>
      </c>
      <c r="I2">
        <f>G2*750.062</f>
        <v>108.3089528</v>
      </c>
      <c r="J2">
        <f xml:space="preserve"> ((7.781845 - LOG(I2))-SQRT((7.781845 - LOG(I2))^2 -8.5608))/0.0125298</f>
        <v>63.890628466200582</v>
      </c>
      <c r="K2">
        <f xml:space="preserve"> 1/J2</f>
        <v>1.5651747744648028E-2</v>
      </c>
      <c r="L2">
        <f xml:space="preserve"> LN(F2)</f>
        <v>-4.1733877695625532</v>
      </c>
    </row>
    <row r="3" spans="1:12" x14ac:dyDescent="0.3">
      <c r="A3">
        <v>30</v>
      </c>
      <c r="B3">
        <v>0.182</v>
      </c>
      <c r="C3" s="1">
        <v>1.506</v>
      </c>
      <c r="D3">
        <f t="shared" ref="D3:D47" si="0">B3-0.006</f>
        <v>0.17599999999999999</v>
      </c>
      <c r="E3">
        <f t="shared" ref="E3:E47" si="1">C3-0.006</f>
        <v>1.5</v>
      </c>
      <c r="F3">
        <f t="shared" ref="F3:F47" si="2">D3*0.1</f>
        <v>1.7600000000000001E-2</v>
      </c>
      <c r="G3">
        <f t="shared" ref="G3:G47" si="3">E3*0.1</f>
        <v>0.15000000000000002</v>
      </c>
      <c r="H3">
        <f t="shared" ref="H3:H46" si="4">F3*750.062</f>
        <v>13.2010912</v>
      </c>
      <c r="I3">
        <f t="shared" ref="I3:I46" si="5">G3*750.062</f>
        <v>112.50930000000002</v>
      </c>
      <c r="J3">
        <f t="shared" ref="J3:J47" si="6" xml:space="preserve"> ((7.781845 - LOG(I3))-SQRT((7.781845 - LOG(I3))^2 -8.5608))/0.0125298</f>
        <v>64.104826180433008</v>
      </c>
      <c r="K3">
        <f t="shared" ref="K3:K47" si="7" xml:space="preserve"> 1/J3</f>
        <v>1.5599449520155384E-2</v>
      </c>
      <c r="L3">
        <f t="shared" ref="L3:L47" si="8" xml:space="preserve"> LN(F3)</f>
        <v>-4.0398563769380305</v>
      </c>
    </row>
    <row r="4" spans="1:12" x14ac:dyDescent="0.3">
      <c r="A4">
        <v>60</v>
      </c>
      <c r="B4">
        <v>0.182</v>
      </c>
      <c r="C4" s="1">
        <v>1.502</v>
      </c>
      <c r="D4">
        <f t="shared" si="0"/>
        <v>0.17599999999999999</v>
      </c>
      <c r="E4">
        <f t="shared" si="1"/>
        <v>1.496</v>
      </c>
      <c r="F4">
        <f t="shared" si="2"/>
        <v>1.7600000000000001E-2</v>
      </c>
      <c r="G4">
        <f t="shared" si="3"/>
        <v>0.14960000000000001</v>
      </c>
      <c r="H4">
        <f t="shared" si="4"/>
        <v>13.2010912</v>
      </c>
      <c r="I4">
        <f t="shared" si="5"/>
        <v>112.20927520000001</v>
      </c>
      <c r="J4">
        <f t="shared" si="6"/>
        <v>64.089743033440428</v>
      </c>
      <c r="K4">
        <f t="shared" si="7"/>
        <v>1.5603120759560933E-2</v>
      </c>
      <c r="L4">
        <f t="shared" si="8"/>
        <v>-4.0398563769380305</v>
      </c>
    </row>
    <row r="5" spans="1:12" x14ac:dyDescent="0.3">
      <c r="A5">
        <v>90</v>
      </c>
      <c r="B5">
        <v>0.187</v>
      </c>
      <c r="C5" s="1">
        <v>1.538</v>
      </c>
      <c r="D5">
        <f t="shared" si="0"/>
        <v>0.18099999999999999</v>
      </c>
      <c r="E5">
        <f t="shared" si="1"/>
        <v>1.532</v>
      </c>
      <c r="F5">
        <f t="shared" si="2"/>
        <v>1.8100000000000002E-2</v>
      </c>
      <c r="G5">
        <f t="shared" si="3"/>
        <v>0.1532</v>
      </c>
      <c r="H5">
        <f t="shared" si="4"/>
        <v>13.576122200000002</v>
      </c>
      <c r="I5">
        <f t="shared" si="5"/>
        <v>114.9094984</v>
      </c>
      <c r="J5">
        <f t="shared" si="6"/>
        <v>64.224333864790012</v>
      </c>
      <c r="K5">
        <f t="shared" si="7"/>
        <v>1.5570422296715083E-2</v>
      </c>
      <c r="L5">
        <f t="shared" si="8"/>
        <v>-4.0118433407103566</v>
      </c>
    </row>
    <row r="6" spans="1:12" x14ac:dyDescent="0.3">
      <c r="A6">
        <v>120</v>
      </c>
      <c r="B6">
        <v>0.22800000000000001</v>
      </c>
      <c r="C6" s="1">
        <v>1.702</v>
      </c>
      <c r="D6">
        <f t="shared" si="0"/>
        <v>0.222</v>
      </c>
      <c r="E6">
        <f t="shared" si="1"/>
        <v>1.696</v>
      </c>
      <c r="F6">
        <f t="shared" si="2"/>
        <v>2.2200000000000001E-2</v>
      </c>
      <c r="G6">
        <f t="shared" si="3"/>
        <v>0.1696</v>
      </c>
      <c r="H6">
        <f t="shared" si="4"/>
        <v>16.6513764</v>
      </c>
      <c r="I6">
        <f t="shared" si="5"/>
        <v>127.2105152</v>
      </c>
      <c r="J6">
        <f t="shared" si="6"/>
        <v>64.806923353688717</v>
      </c>
      <c r="K6">
        <f t="shared" si="7"/>
        <v>1.5430450147161344E-2</v>
      </c>
      <c r="L6">
        <f t="shared" si="8"/>
        <v>-3.8076629901039034</v>
      </c>
    </row>
    <row r="7" spans="1:12" x14ac:dyDescent="0.3">
      <c r="A7">
        <v>150</v>
      </c>
      <c r="B7">
        <v>0.252</v>
      </c>
      <c r="C7" s="1">
        <v>1.84</v>
      </c>
      <c r="D7">
        <f t="shared" si="0"/>
        <v>0.246</v>
      </c>
      <c r="E7">
        <f t="shared" si="1"/>
        <v>1.8340000000000001</v>
      </c>
      <c r="F7">
        <f t="shared" si="2"/>
        <v>2.46E-2</v>
      </c>
      <c r="G7">
        <f t="shared" si="3"/>
        <v>0.18340000000000001</v>
      </c>
      <c r="H7">
        <f t="shared" si="4"/>
        <v>18.451525199999999</v>
      </c>
      <c r="I7">
        <f t="shared" si="5"/>
        <v>137.56137080000002</v>
      </c>
      <c r="J7">
        <f t="shared" si="6"/>
        <v>65.262909433601891</v>
      </c>
      <c r="K7">
        <f t="shared" si="7"/>
        <v>1.5322638979455769E-2</v>
      </c>
      <c r="L7">
        <f t="shared" si="8"/>
        <v>-3.7050088360438198</v>
      </c>
    </row>
    <row r="8" spans="1:12" x14ac:dyDescent="0.3">
      <c r="A8">
        <v>180</v>
      </c>
      <c r="B8">
        <v>0.27400000000000002</v>
      </c>
      <c r="C8" s="1">
        <v>1.9450000000000001</v>
      </c>
      <c r="D8">
        <f t="shared" si="0"/>
        <v>0.26800000000000002</v>
      </c>
      <c r="E8">
        <f t="shared" si="1"/>
        <v>1.9390000000000001</v>
      </c>
      <c r="F8">
        <f t="shared" si="2"/>
        <v>2.6800000000000004E-2</v>
      </c>
      <c r="G8">
        <f t="shared" si="3"/>
        <v>0.19390000000000002</v>
      </c>
      <c r="H8">
        <f t="shared" si="4"/>
        <v>20.101661600000003</v>
      </c>
      <c r="I8">
        <f t="shared" si="5"/>
        <v>145.43702180000002</v>
      </c>
      <c r="J8">
        <f t="shared" si="6"/>
        <v>65.591693177138936</v>
      </c>
      <c r="K8">
        <f t="shared" si="7"/>
        <v>1.5245832994421555E-2</v>
      </c>
      <c r="L8">
        <f t="shared" si="8"/>
        <v>-3.6193533914653258</v>
      </c>
    </row>
    <row r="9" spans="1:12" x14ac:dyDescent="0.3">
      <c r="A9">
        <v>210</v>
      </c>
      <c r="B9">
        <v>0.29299999999999998</v>
      </c>
      <c r="C9" s="1">
        <v>2.0449999999999999</v>
      </c>
      <c r="D9">
        <f t="shared" si="0"/>
        <v>0.28699999999999998</v>
      </c>
      <c r="E9">
        <f t="shared" si="1"/>
        <v>2.0390000000000001</v>
      </c>
      <c r="F9">
        <f t="shared" si="2"/>
        <v>2.87E-2</v>
      </c>
      <c r="G9">
        <f t="shared" si="3"/>
        <v>0.20390000000000003</v>
      </c>
      <c r="H9">
        <f t="shared" si="4"/>
        <v>21.526779399999999</v>
      </c>
      <c r="I9">
        <f t="shared" si="5"/>
        <v>152.93764180000002</v>
      </c>
      <c r="J9">
        <f t="shared" si="6"/>
        <v>65.891777887945167</v>
      </c>
      <c r="K9">
        <f t="shared" si="7"/>
        <v>1.5176400334812471E-2</v>
      </c>
      <c r="L9">
        <f t="shared" si="8"/>
        <v>-3.5508581562165618</v>
      </c>
    </row>
    <row r="10" spans="1:12" x14ac:dyDescent="0.3">
      <c r="A10">
        <v>240</v>
      </c>
      <c r="B10">
        <v>0.312</v>
      </c>
      <c r="C10" s="1">
        <v>2.1619999999999999</v>
      </c>
      <c r="D10">
        <f t="shared" si="0"/>
        <v>0.30599999999999999</v>
      </c>
      <c r="E10">
        <f t="shared" si="1"/>
        <v>2.1560000000000001</v>
      </c>
      <c r="F10">
        <f t="shared" si="2"/>
        <v>3.0600000000000002E-2</v>
      </c>
      <c r="G10">
        <f t="shared" si="3"/>
        <v>0.21560000000000001</v>
      </c>
      <c r="H10">
        <f t="shared" si="4"/>
        <v>22.951897200000001</v>
      </c>
      <c r="I10">
        <f t="shared" si="5"/>
        <v>161.71336720000002</v>
      </c>
      <c r="J10">
        <f t="shared" si="6"/>
        <v>66.228243781371589</v>
      </c>
      <c r="K10">
        <f t="shared" si="7"/>
        <v>1.5099298168031385E-2</v>
      </c>
      <c r="L10">
        <f t="shared" si="8"/>
        <v>-3.486755270023802</v>
      </c>
    </row>
    <row r="11" spans="1:12" x14ac:dyDescent="0.3">
      <c r="A11">
        <v>270</v>
      </c>
      <c r="B11">
        <v>0.33900000000000002</v>
      </c>
      <c r="C11" s="1">
        <v>2.2890000000000001</v>
      </c>
      <c r="D11">
        <f t="shared" si="0"/>
        <v>0.33300000000000002</v>
      </c>
      <c r="E11">
        <f t="shared" si="1"/>
        <v>2.2830000000000004</v>
      </c>
      <c r="F11">
        <f t="shared" si="2"/>
        <v>3.3300000000000003E-2</v>
      </c>
      <c r="G11">
        <f t="shared" si="3"/>
        <v>0.22830000000000006</v>
      </c>
      <c r="H11">
        <f t="shared" si="4"/>
        <v>24.977064600000002</v>
      </c>
      <c r="I11">
        <f t="shared" si="5"/>
        <v>171.23915460000003</v>
      </c>
      <c r="J11">
        <f t="shared" si="6"/>
        <v>66.5773035727766</v>
      </c>
      <c r="K11">
        <f t="shared" si="7"/>
        <v>1.5020133684250005E-2</v>
      </c>
      <c r="L11">
        <f t="shared" si="8"/>
        <v>-3.4021978819957388</v>
      </c>
    </row>
    <row r="12" spans="1:12" x14ac:dyDescent="0.3">
      <c r="A12">
        <v>300</v>
      </c>
      <c r="B12">
        <v>0.35199999999999998</v>
      </c>
      <c r="C12" s="1">
        <v>2.419</v>
      </c>
      <c r="D12">
        <f t="shared" si="0"/>
        <v>0.34599999999999997</v>
      </c>
      <c r="E12">
        <f t="shared" si="1"/>
        <v>2.4130000000000003</v>
      </c>
      <c r="F12">
        <f t="shared" si="2"/>
        <v>3.4599999999999999E-2</v>
      </c>
      <c r="G12">
        <f t="shared" si="3"/>
        <v>0.24130000000000004</v>
      </c>
      <c r="H12">
        <f t="shared" si="4"/>
        <v>25.9521452</v>
      </c>
      <c r="I12">
        <f t="shared" si="5"/>
        <v>180.98996060000005</v>
      </c>
      <c r="J12">
        <f t="shared" si="6"/>
        <v>66.918884034569501</v>
      </c>
      <c r="K12">
        <f t="shared" si="7"/>
        <v>1.4943464978934973E-2</v>
      </c>
      <c r="L12">
        <f t="shared" si="8"/>
        <v>-3.3639015969184585</v>
      </c>
    </row>
    <row r="13" spans="1:12" x14ac:dyDescent="0.3">
      <c r="A13">
        <v>330</v>
      </c>
      <c r="B13">
        <v>0.39100000000000001</v>
      </c>
      <c r="C13" s="1">
        <v>2.5550000000000002</v>
      </c>
      <c r="D13">
        <f t="shared" si="0"/>
        <v>0.38500000000000001</v>
      </c>
      <c r="E13">
        <f t="shared" si="1"/>
        <v>2.5490000000000004</v>
      </c>
      <c r="F13">
        <f t="shared" si="2"/>
        <v>3.8500000000000006E-2</v>
      </c>
      <c r="G13">
        <f t="shared" si="3"/>
        <v>0.25490000000000007</v>
      </c>
      <c r="H13">
        <f t="shared" si="4"/>
        <v>28.877387000000006</v>
      </c>
      <c r="I13">
        <f t="shared" si="5"/>
        <v>191.19080380000005</v>
      </c>
      <c r="J13">
        <f t="shared" si="6"/>
        <v>67.260856244520198</v>
      </c>
      <c r="K13">
        <f t="shared" si="7"/>
        <v>1.4867488400156531E-2</v>
      </c>
      <c r="L13">
        <f t="shared" si="8"/>
        <v>-3.2570970376883985</v>
      </c>
    </row>
    <row r="14" spans="1:12" x14ac:dyDescent="0.3">
      <c r="A14">
        <v>360</v>
      </c>
      <c r="B14">
        <v>0.42299999999999999</v>
      </c>
      <c r="C14" s="1">
        <v>2.7</v>
      </c>
      <c r="D14">
        <f t="shared" si="0"/>
        <v>0.41699999999999998</v>
      </c>
      <c r="E14">
        <f t="shared" si="1"/>
        <v>2.6940000000000004</v>
      </c>
      <c r="F14">
        <f t="shared" si="2"/>
        <v>4.1700000000000001E-2</v>
      </c>
      <c r="G14">
        <f t="shared" si="3"/>
        <v>0.26940000000000003</v>
      </c>
      <c r="H14">
        <f t="shared" si="4"/>
        <v>31.2775854</v>
      </c>
      <c r="I14">
        <f t="shared" si="5"/>
        <v>202.06670280000003</v>
      </c>
      <c r="J14">
        <f t="shared" si="6"/>
        <v>67.609806405364395</v>
      </c>
      <c r="K14">
        <f t="shared" si="7"/>
        <v>1.479075378509968E-2</v>
      </c>
      <c r="L14">
        <f t="shared" si="8"/>
        <v>-3.1772541501773812</v>
      </c>
    </row>
    <row r="15" spans="1:12" x14ac:dyDescent="0.3">
      <c r="A15">
        <v>390</v>
      </c>
      <c r="B15">
        <v>0.45400000000000001</v>
      </c>
      <c r="C15" s="1">
        <v>2.85</v>
      </c>
      <c r="D15">
        <f t="shared" si="0"/>
        <v>0.44800000000000001</v>
      </c>
      <c r="E15">
        <f t="shared" si="1"/>
        <v>2.8440000000000003</v>
      </c>
      <c r="F15">
        <f t="shared" si="2"/>
        <v>4.4800000000000006E-2</v>
      </c>
      <c r="G15">
        <f t="shared" si="3"/>
        <v>0.28440000000000004</v>
      </c>
      <c r="H15">
        <f t="shared" si="4"/>
        <v>33.602777600000003</v>
      </c>
      <c r="I15">
        <f t="shared" si="5"/>
        <v>213.31763280000004</v>
      </c>
      <c r="J15">
        <f t="shared" si="6"/>
        <v>67.955410527856557</v>
      </c>
      <c r="K15">
        <f t="shared" si="7"/>
        <v>1.471553173223898E-2</v>
      </c>
      <c r="L15">
        <f t="shared" si="8"/>
        <v>-3.1055471395611973</v>
      </c>
    </row>
    <row r="16" spans="1:12" x14ac:dyDescent="0.3">
      <c r="A16">
        <v>420</v>
      </c>
      <c r="B16">
        <v>0.48699999999999999</v>
      </c>
      <c r="C16" s="1">
        <v>3.0019999999999998</v>
      </c>
      <c r="D16">
        <f t="shared" si="0"/>
        <v>0.48099999999999998</v>
      </c>
      <c r="E16">
        <f t="shared" si="1"/>
        <v>2.996</v>
      </c>
      <c r="F16">
        <f t="shared" si="2"/>
        <v>4.8100000000000004E-2</v>
      </c>
      <c r="G16">
        <f t="shared" si="3"/>
        <v>0.29960000000000003</v>
      </c>
      <c r="H16">
        <f t="shared" si="4"/>
        <v>36.077982200000001</v>
      </c>
      <c r="I16">
        <f t="shared" si="5"/>
        <v>224.71857520000003</v>
      </c>
      <c r="J16">
        <f t="shared" si="6"/>
        <v>68.291164315062005</v>
      </c>
      <c r="K16">
        <f t="shared" si="7"/>
        <v>1.4643182760605595E-2</v>
      </c>
      <c r="L16">
        <f t="shared" si="8"/>
        <v>-3.0344731018704216</v>
      </c>
    </row>
    <row r="17" spans="1:16" x14ac:dyDescent="0.3">
      <c r="A17">
        <v>450</v>
      </c>
      <c r="B17">
        <v>0.52500000000000002</v>
      </c>
      <c r="C17" s="1">
        <v>3.177</v>
      </c>
      <c r="D17">
        <f t="shared" si="0"/>
        <v>0.51900000000000002</v>
      </c>
      <c r="E17">
        <f t="shared" si="1"/>
        <v>3.1710000000000003</v>
      </c>
      <c r="F17">
        <f t="shared" si="2"/>
        <v>5.1900000000000002E-2</v>
      </c>
      <c r="G17">
        <f t="shared" si="3"/>
        <v>0.31710000000000005</v>
      </c>
      <c r="H17">
        <f t="shared" si="4"/>
        <v>38.928217799999999</v>
      </c>
      <c r="I17">
        <f t="shared" si="5"/>
        <v>237.84466020000005</v>
      </c>
      <c r="J17">
        <f t="shared" si="6"/>
        <v>68.661402613463849</v>
      </c>
      <c r="K17">
        <f t="shared" si="7"/>
        <v>1.4564223303587299E-2</v>
      </c>
      <c r="L17">
        <f t="shared" si="8"/>
        <v>-2.9584364888102939</v>
      </c>
    </row>
    <row r="18" spans="1:16" x14ac:dyDescent="0.3">
      <c r="A18">
        <v>480</v>
      </c>
      <c r="B18">
        <v>0.57099999999999995</v>
      </c>
      <c r="C18" s="1">
        <v>3.343</v>
      </c>
      <c r="D18">
        <f t="shared" si="0"/>
        <v>0.56499999999999995</v>
      </c>
      <c r="E18">
        <f t="shared" si="1"/>
        <v>3.3370000000000002</v>
      </c>
      <c r="F18">
        <f t="shared" si="2"/>
        <v>5.6499999999999995E-2</v>
      </c>
      <c r="G18">
        <f t="shared" si="3"/>
        <v>0.33370000000000005</v>
      </c>
      <c r="H18">
        <f t="shared" si="4"/>
        <v>42.378502999999995</v>
      </c>
      <c r="I18">
        <f t="shared" si="5"/>
        <v>250.29568940000004</v>
      </c>
      <c r="J18">
        <f t="shared" si="6"/>
        <v>68.997953046345444</v>
      </c>
      <c r="K18">
        <f t="shared" si="7"/>
        <v>1.4493183577899868E-2</v>
      </c>
      <c r="L18">
        <f t="shared" si="8"/>
        <v>-2.8735146408297418</v>
      </c>
    </row>
    <row r="19" spans="1:16" x14ac:dyDescent="0.3">
      <c r="A19">
        <v>510</v>
      </c>
      <c r="B19">
        <v>0.61</v>
      </c>
      <c r="C19" s="1">
        <v>3.528</v>
      </c>
      <c r="D19">
        <f t="shared" si="0"/>
        <v>0.60399999999999998</v>
      </c>
      <c r="E19">
        <f t="shared" si="1"/>
        <v>3.5220000000000002</v>
      </c>
      <c r="F19">
        <f t="shared" si="2"/>
        <v>6.0400000000000002E-2</v>
      </c>
      <c r="G19">
        <f t="shared" si="3"/>
        <v>0.35220000000000007</v>
      </c>
      <c r="H19">
        <f t="shared" si="4"/>
        <v>45.303744800000004</v>
      </c>
      <c r="I19">
        <f t="shared" si="5"/>
        <v>264.17183640000007</v>
      </c>
      <c r="J19">
        <f t="shared" si="6"/>
        <v>69.357796488623819</v>
      </c>
      <c r="K19">
        <f t="shared" si="7"/>
        <v>1.4417989766500463E-2</v>
      </c>
      <c r="L19">
        <f t="shared" si="8"/>
        <v>-2.8067661740413676</v>
      </c>
    </row>
    <row r="20" spans="1:16" x14ac:dyDescent="0.3">
      <c r="A20">
        <v>540</v>
      </c>
      <c r="B20">
        <v>0.65400000000000003</v>
      </c>
      <c r="C20" s="1">
        <v>3.7120000000000002</v>
      </c>
      <c r="D20">
        <f t="shared" si="0"/>
        <v>0.64800000000000002</v>
      </c>
      <c r="E20">
        <f t="shared" si="1"/>
        <v>3.7060000000000004</v>
      </c>
      <c r="F20">
        <f t="shared" si="2"/>
        <v>6.480000000000001E-2</v>
      </c>
      <c r="G20">
        <f t="shared" si="3"/>
        <v>0.37060000000000004</v>
      </c>
      <c r="H20">
        <f t="shared" si="4"/>
        <v>48.604017600000006</v>
      </c>
      <c r="I20">
        <f t="shared" si="5"/>
        <v>277.97297720000006</v>
      </c>
      <c r="J20">
        <f t="shared" si="6"/>
        <v>69.701212887954426</v>
      </c>
      <c r="K20">
        <f t="shared" si="7"/>
        <v>1.4346952636355303E-2</v>
      </c>
      <c r="L20">
        <f t="shared" si="8"/>
        <v>-2.7364496756239078</v>
      </c>
    </row>
    <row r="21" spans="1:16" x14ac:dyDescent="0.3">
      <c r="A21">
        <v>570</v>
      </c>
      <c r="B21">
        <v>0.69799999999999995</v>
      </c>
      <c r="C21" s="1">
        <v>3.8959999999999999</v>
      </c>
      <c r="D21">
        <f t="shared" si="0"/>
        <v>0.69199999999999995</v>
      </c>
      <c r="E21">
        <f t="shared" si="1"/>
        <v>3.89</v>
      </c>
      <c r="F21">
        <f t="shared" si="2"/>
        <v>6.9199999999999998E-2</v>
      </c>
      <c r="G21">
        <f t="shared" si="3"/>
        <v>0.38900000000000001</v>
      </c>
      <c r="H21">
        <f t="shared" si="4"/>
        <v>51.904290400000001</v>
      </c>
      <c r="I21">
        <f t="shared" si="5"/>
        <v>291.77411799999999</v>
      </c>
      <c r="J21">
        <f t="shared" si="6"/>
        <v>70.031471280541368</v>
      </c>
      <c r="K21">
        <f t="shared" si="7"/>
        <v>1.4279294461686621E-2</v>
      </c>
      <c r="L21">
        <f t="shared" si="8"/>
        <v>-2.6707544163585131</v>
      </c>
      <c r="O21">
        <f xml:space="preserve"> -(-1001.4 * 8.314)</f>
        <v>8325.6396000000004</v>
      </c>
    </row>
    <row r="22" spans="1:16" x14ac:dyDescent="0.3">
      <c r="A22">
        <v>600</v>
      </c>
      <c r="B22">
        <v>0.749</v>
      </c>
      <c r="C22" s="1">
        <v>4.0970000000000004</v>
      </c>
      <c r="D22">
        <f t="shared" si="0"/>
        <v>0.74299999999999999</v>
      </c>
      <c r="E22">
        <f t="shared" si="1"/>
        <v>4.0910000000000002</v>
      </c>
      <c r="F22">
        <f t="shared" si="2"/>
        <v>7.4300000000000005E-2</v>
      </c>
      <c r="G22">
        <f t="shared" si="3"/>
        <v>0.40910000000000002</v>
      </c>
      <c r="H22">
        <f t="shared" si="4"/>
        <v>55.729606600000004</v>
      </c>
      <c r="I22">
        <f t="shared" si="5"/>
        <v>306.8503642</v>
      </c>
      <c r="J22">
        <f t="shared" si="6"/>
        <v>70.378512842004881</v>
      </c>
      <c r="K22">
        <f t="shared" si="7"/>
        <v>1.420888222297243E-2</v>
      </c>
      <c r="L22">
        <f t="shared" si="8"/>
        <v>-2.5996443272584235</v>
      </c>
      <c r="P22" t="s">
        <v>12</v>
      </c>
    </row>
    <row r="23" spans="1:16" x14ac:dyDescent="0.3">
      <c r="A23">
        <v>630</v>
      </c>
      <c r="B23">
        <v>0.80400000000000005</v>
      </c>
      <c r="C23" s="1">
        <v>4.2990000000000004</v>
      </c>
      <c r="D23">
        <f t="shared" si="0"/>
        <v>0.79800000000000004</v>
      </c>
      <c r="E23">
        <f t="shared" si="1"/>
        <v>4.2930000000000001</v>
      </c>
      <c r="F23">
        <f t="shared" si="2"/>
        <v>7.980000000000001E-2</v>
      </c>
      <c r="G23">
        <f t="shared" si="3"/>
        <v>0.42930000000000001</v>
      </c>
      <c r="H23">
        <f t="shared" si="4"/>
        <v>59.85494760000001</v>
      </c>
      <c r="I23">
        <f t="shared" si="5"/>
        <v>322.00161660000003</v>
      </c>
      <c r="J23">
        <f t="shared" si="6"/>
        <v>70.714071529723427</v>
      </c>
      <c r="K23">
        <f t="shared" si="7"/>
        <v>1.4141456974085666E-2</v>
      </c>
      <c r="L23">
        <f t="shared" si="8"/>
        <v>-2.528231774526374</v>
      </c>
    </row>
    <row r="24" spans="1:16" x14ac:dyDescent="0.3">
      <c r="A24">
        <v>660</v>
      </c>
      <c r="B24">
        <v>0.85399999999999998</v>
      </c>
      <c r="C24" s="1">
        <v>4.4950000000000001</v>
      </c>
      <c r="D24">
        <f t="shared" si="0"/>
        <v>0.84799999999999998</v>
      </c>
      <c r="E24">
        <f t="shared" si="1"/>
        <v>4.4889999999999999</v>
      </c>
      <c r="F24">
        <f t="shared" si="2"/>
        <v>8.48E-2</v>
      </c>
      <c r="G24">
        <f t="shared" si="3"/>
        <v>0.44890000000000002</v>
      </c>
      <c r="H24">
        <f t="shared" si="4"/>
        <v>63.605257600000002</v>
      </c>
      <c r="I24">
        <f t="shared" si="5"/>
        <v>336.70283180000001</v>
      </c>
      <c r="J24">
        <f t="shared" si="6"/>
        <v>71.028058557563966</v>
      </c>
      <c r="K24">
        <f t="shared" si="7"/>
        <v>1.4078943171304058E-2</v>
      </c>
      <c r="L24">
        <f t="shared" si="8"/>
        <v>-2.4674597361842796</v>
      </c>
    </row>
    <row r="25" spans="1:16" x14ac:dyDescent="0.3">
      <c r="A25">
        <v>690</v>
      </c>
      <c r="B25">
        <v>0.9</v>
      </c>
      <c r="C25" s="1">
        <v>4.7</v>
      </c>
      <c r="D25">
        <f t="shared" si="0"/>
        <v>0.89400000000000002</v>
      </c>
      <c r="E25">
        <f t="shared" si="1"/>
        <v>4.694</v>
      </c>
      <c r="F25">
        <f t="shared" si="2"/>
        <v>8.9400000000000007E-2</v>
      </c>
      <c r="G25">
        <f t="shared" si="3"/>
        <v>0.46940000000000004</v>
      </c>
      <c r="H25">
        <f t="shared" si="4"/>
        <v>67.055542800000012</v>
      </c>
      <c r="I25">
        <f t="shared" si="5"/>
        <v>352.07910280000004</v>
      </c>
      <c r="J25">
        <f t="shared" si="6"/>
        <v>71.345213011713113</v>
      </c>
      <c r="K25">
        <f t="shared" si="7"/>
        <v>1.4016357339010604E-2</v>
      </c>
      <c r="L25">
        <f t="shared" si="8"/>
        <v>-2.4146345968026686</v>
      </c>
    </row>
    <row r="26" spans="1:16" x14ac:dyDescent="0.3">
      <c r="A26">
        <v>720</v>
      </c>
      <c r="B26">
        <v>0.96299999999999997</v>
      </c>
      <c r="C26" s="1">
        <v>4.9130000000000003</v>
      </c>
      <c r="D26">
        <f t="shared" si="0"/>
        <v>0.95699999999999996</v>
      </c>
      <c r="E26">
        <f t="shared" si="1"/>
        <v>4.907</v>
      </c>
      <c r="F26">
        <f t="shared" si="2"/>
        <v>9.5700000000000007E-2</v>
      </c>
      <c r="G26">
        <f t="shared" si="3"/>
        <v>0.49070000000000003</v>
      </c>
      <c r="H26">
        <f t="shared" si="4"/>
        <v>71.780933400000009</v>
      </c>
      <c r="I26">
        <f t="shared" si="5"/>
        <v>368.05542340000005</v>
      </c>
      <c r="J26">
        <f t="shared" si="6"/>
        <v>71.66350826100026</v>
      </c>
      <c r="K26">
        <f t="shared" si="7"/>
        <v>1.3954103340265946E-2</v>
      </c>
      <c r="L26">
        <f t="shared" si="8"/>
        <v>-2.3465369805232283</v>
      </c>
    </row>
    <row r="27" spans="1:16" x14ac:dyDescent="0.3">
      <c r="A27">
        <v>750</v>
      </c>
      <c r="B27">
        <v>1.02</v>
      </c>
      <c r="C27" s="1">
        <v>5.1429999999999998</v>
      </c>
      <c r="D27">
        <f t="shared" si="0"/>
        <v>1.014</v>
      </c>
      <c r="E27">
        <f t="shared" si="1"/>
        <v>5.1369999999999996</v>
      </c>
      <c r="F27">
        <f t="shared" si="2"/>
        <v>0.1014</v>
      </c>
      <c r="G27">
        <f t="shared" si="3"/>
        <v>0.51369999999999993</v>
      </c>
      <c r="H27">
        <f t="shared" si="4"/>
        <v>76.056286800000009</v>
      </c>
      <c r="I27">
        <f t="shared" si="5"/>
        <v>385.30684939999998</v>
      </c>
      <c r="J27">
        <f t="shared" si="6"/>
        <v>71.995358506655464</v>
      </c>
      <c r="K27">
        <f t="shared" si="7"/>
        <v>1.38897842964079E-2</v>
      </c>
      <c r="L27">
        <f t="shared" si="8"/>
        <v>-2.2886821878250543</v>
      </c>
    </row>
    <row r="28" spans="1:16" x14ac:dyDescent="0.3">
      <c r="A28">
        <v>780</v>
      </c>
      <c r="B28">
        <v>1.083</v>
      </c>
      <c r="C28" s="1">
        <v>5.3630000000000004</v>
      </c>
      <c r="D28">
        <f t="shared" si="0"/>
        <v>1.077</v>
      </c>
      <c r="E28">
        <f t="shared" si="1"/>
        <v>5.3570000000000002</v>
      </c>
      <c r="F28">
        <f t="shared" si="2"/>
        <v>0.1077</v>
      </c>
      <c r="G28">
        <f t="shared" si="3"/>
        <v>0.53570000000000007</v>
      </c>
      <c r="H28">
        <f t="shared" si="4"/>
        <v>80.781677400000007</v>
      </c>
      <c r="I28">
        <f t="shared" si="5"/>
        <v>401.80821340000006</v>
      </c>
      <c r="J28">
        <f t="shared" si="6"/>
        <v>72.302153431468469</v>
      </c>
      <c r="K28">
        <f t="shared" si="7"/>
        <v>1.3830846697364957E-2</v>
      </c>
      <c r="L28">
        <f t="shared" si="8"/>
        <v>-2.2284056948197941</v>
      </c>
    </row>
    <row r="29" spans="1:16" x14ac:dyDescent="0.3">
      <c r="A29">
        <v>810</v>
      </c>
      <c r="B29">
        <v>1.1519999999999999</v>
      </c>
      <c r="C29" s="1">
        <v>5.6260000000000003</v>
      </c>
      <c r="D29">
        <f t="shared" si="0"/>
        <v>1.1459999999999999</v>
      </c>
      <c r="E29">
        <f t="shared" si="1"/>
        <v>5.62</v>
      </c>
      <c r="F29">
        <f t="shared" si="2"/>
        <v>0.11459999999999999</v>
      </c>
      <c r="G29">
        <f t="shared" si="3"/>
        <v>0.56200000000000006</v>
      </c>
      <c r="H29">
        <f t="shared" si="4"/>
        <v>85.957105200000001</v>
      </c>
      <c r="I29">
        <f t="shared" si="5"/>
        <v>421.53484400000002</v>
      </c>
      <c r="J29">
        <f t="shared" si="6"/>
        <v>72.656353160630943</v>
      </c>
      <c r="K29">
        <f t="shared" si="7"/>
        <v>1.3763421318286766E-2</v>
      </c>
      <c r="L29">
        <f t="shared" si="8"/>
        <v>-2.1663074747014979</v>
      </c>
    </row>
    <row r="30" spans="1:16" x14ac:dyDescent="0.3">
      <c r="A30">
        <v>840</v>
      </c>
      <c r="B30">
        <v>1.2190000000000001</v>
      </c>
      <c r="C30" s="1">
        <v>5.8289999999999997</v>
      </c>
      <c r="D30">
        <f t="shared" si="0"/>
        <v>1.2130000000000001</v>
      </c>
      <c r="E30">
        <f t="shared" si="1"/>
        <v>5.8229999999999995</v>
      </c>
      <c r="F30">
        <f t="shared" si="2"/>
        <v>0.12130000000000002</v>
      </c>
      <c r="G30">
        <f t="shared" si="3"/>
        <v>0.58229999999999993</v>
      </c>
      <c r="H30">
        <f t="shared" si="4"/>
        <v>90.982520600000015</v>
      </c>
      <c r="I30">
        <f t="shared" si="5"/>
        <v>436.76110259999996</v>
      </c>
      <c r="J30">
        <f t="shared" si="6"/>
        <v>72.921077017961665</v>
      </c>
      <c r="K30">
        <f t="shared" si="7"/>
        <v>1.3713456258383067E-2</v>
      </c>
      <c r="L30">
        <f t="shared" si="8"/>
        <v>-2.1094884630321324</v>
      </c>
    </row>
    <row r="31" spans="1:16" x14ac:dyDescent="0.3">
      <c r="A31">
        <v>870</v>
      </c>
      <c r="B31">
        <v>1.2889999999999999</v>
      </c>
      <c r="C31" s="1">
        <v>6.056</v>
      </c>
      <c r="D31">
        <f t="shared" si="0"/>
        <v>1.2829999999999999</v>
      </c>
      <c r="E31">
        <f t="shared" si="1"/>
        <v>6.05</v>
      </c>
      <c r="F31">
        <f t="shared" si="2"/>
        <v>0.1283</v>
      </c>
      <c r="G31">
        <f t="shared" si="3"/>
        <v>0.60499999999999998</v>
      </c>
      <c r="H31">
        <f t="shared" si="4"/>
        <v>96.232954599999999</v>
      </c>
      <c r="I31">
        <f t="shared" si="5"/>
        <v>453.78751</v>
      </c>
      <c r="J31">
        <f t="shared" si="6"/>
        <v>73.20878692942938</v>
      </c>
      <c r="K31">
        <f t="shared" si="7"/>
        <v>1.3659562491644121E-2</v>
      </c>
      <c r="L31">
        <f t="shared" si="8"/>
        <v>-2.0533840073605463</v>
      </c>
    </row>
    <row r="32" spans="1:16" x14ac:dyDescent="0.3">
      <c r="A32">
        <v>900</v>
      </c>
      <c r="B32">
        <v>1.361</v>
      </c>
      <c r="C32" s="1">
        <v>6.3029999999999999</v>
      </c>
      <c r="D32">
        <f t="shared" si="0"/>
        <v>1.355</v>
      </c>
      <c r="E32">
        <f t="shared" si="1"/>
        <v>6.2969999999999997</v>
      </c>
      <c r="F32">
        <f t="shared" si="2"/>
        <v>0.13550000000000001</v>
      </c>
      <c r="G32">
        <f t="shared" si="3"/>
        <v>0.62970000000000004</v>
      </c>
      <c r="H32">
        <f t="shared" si="4"/>
        <v>101.63340100000001</v>
      </c>
      <c r="I32">
        <f t="shared" si="5"/>
        <v>472.31404140000001</v>
      </c>
      <c r="J32">
        <f t="shared" si="6"/>
        <v>73.512540067330193</v>
      </c>
      <c r="K32">
        <f t="shared" si="7"/>
        <v>1.3603121305345989E-2</v>
      </c>
      <c r="L32">
        <f t="shared" si="8"/>
        <v>-1.9987836386623814</v>
      </c>
    </row>
    <row r="33" spans="1:12" x14ac:dyDescent="0.3">
      <c r="A33">
        <v>930</v>
      </c>
      <c r="B33">
        <v>1.419</v>
      </c>
      <c r="C33" s="1">
        <v>6.5309999999999997</v>
      </c>
      <c r="D33">
        <f t="shared" si="0"/>
        <v>1.413</v>
      </c>
      <c r="E33">
        <f t="shared" si="1"/>
        <v>6.5249999999999995</v>
      </c>
      <c r="F33">
        <f t="shared" si="2"/>
        <v>0.14130000000000001</v>
      </c>
      <c r="G33">
        <f t="shared" si="3"/>
        <v>0.65249999999999997</v>
      </c>
      <c r="H33">
        <f t="shared" si="4"/>
        <v>105.98376060000001</v>
      </c>
      <c r="I33">
        <f t="shared" si="5"/>
        <v>489.41545500000001</v>
      </c>
      <c r="J33">
        <f t="shared" si="6"/>
        <v>73.784892222756824</v>
      </c>
      <c r="K33">
        <f t="shared" si="7"/>
        <v>1.3552909950467866E-2</v>
      </c>
      <c r="L33">
        <f t="shared" si="8"/>
        <v>-1.9568699892916552</v>
      </c>
    </row>
    <row r="34" spans="1:12" x14ac:dyDescent="0.3">
      <c r="A34">
        <v>960</v>
      </c>
      <c r="B34">
        <v>1.5029999999999999</v>
      </c>
      <c r="C34" s="1">
        <v>6.78</v>
      </c>
      <c r="D34">
        <f t="shared" si="0"/>
        <v>1.4969999999999999</v>
      </c>
      <c r="E34">
        <f t="shared" si="1"/>
        <v>6.774</v>
      </c>
      <c r="F34">
        <f t="shared" si="2"/>
        <v>0.1497</v>
      </c>
      <c r="G34">
        <f t="shared" si="3"/>
        <v>0.6774</v>
      </c>
      <c r="H34">
        <f t="shared" si="4"/>
        <v>112.2842814</v>
      </c>
      <c r="I34">
        <f t="shared" si="5"/>
        <v>508.0919988</v>
      </c>
      <c r="J34">
        <f t="shared" si="6"/>
        <v>74.074099116489236</v>
      </c>
      <c r="K34">
        <f t="shared" si="7"/>
        <v>1.3499995436021379E-2</v>
      </c>
      <c r="L34">
        <f t="shared" si="8"/>
        <v>-1.8991219875565544</v>
      </c>
    </row>
    <row r="35" spans="1:12" x14ac:dyDescent="0.3">
      <c r="A35">
        <v>990</v>
      </c>
      <c r="B35">
        <v>1.5760000000000001</v>
      </c>
      <c r="C35" s="1">
        <v>7.0369999999999999</v>
      </c>
      <c r="D35">
        <f t="shared" si="0"/>
        <v>1.57</v>
      </c>
      <c r="E35">
        <f t="shared" si="1"/>
        <v>7.0309999999999997</v>
      </c>
      <c r="F35">
        <f t="shared" si="2"/>
        <v>0.15700000000000003</v>
      </c>
      <c r="G35">
        <f t="shared" si="3"/>
        <v>0.70310000000000006</v>
      </c>
      <c r="H35">
        <f t="shared" si="4"/>
        <v>117.75973400000002</v>
      </c>
      <c r="I35">
        <f t="shared" si="5"/>
        <v>527.36859220000008</v>
      </c>
      <c r="J35">
        <f t="shared" si="6"/>
        <v>74.36416768829794</v>
      </c>
      <c r="K35">
        <f t="shared" si="7"/>
        <v>1.3447336682252163E-2</v>
      </c>
      <c r="L35">
        <f t="shared" si="8"/>
        <v>-1.8515094736338289</v>
      </c>
    </row>
    <row r="36" spans="1:12" x14ac:dyDescent="0.3">
      <c r="A36">
        <v>1020</v>
      </c>
      <c r="B36">
        <v>1.659</v>
      </c>
      <c r="C36" s="1">
        <v>7.2850000000000001</v>
      </c>
      <c r="D36">
        <f t="shared" si="0"/>
        <v>1.653</v>
      </c>
      <c r="E36">
        <f t="shared" si="1"/>
        <v>7.2789999999999999</v>
      </c>
      <c r="F36">
        <f t="shared" si="2"/>
        <v>0.1653</v>
      </c>
      <c r="G36">
        <f t="shared" si="3"/>
        <v>0.72789999999999999</v>
      </c>
      <c r="H36">
        <f t="shared" si="4"/>
        <v>123.98524860000001</v>
      </c>
      <c r="I36">
        <f t="shared" si="5"/>
        <v>545.9701298</v>
      </c>
      <c r="J36">
        <f t="shared" si="6"/>
        <v>74.636478414446273</v>
      </c>
      <c r="K36">
        <f t="shared" si="7"/>
        <v>1.3398274158209008E-2</v>
      </c>
      <c r="L36">
        <f t="shared" si="8"/>
        <v>-1.7999932741551585</v>
      </c>
    </row>
    <row r="37" spans="1:12" x14ac:dyDescent="0.3">
      <c r="A37">
        <v>1050</v>
      </c>
      <c r="B37">
        <v>1.7330000000000001</v>
      </c>
      <c r="C37" s="1">
        <v>7.5359999999999996</v>
      </c>
      <c r="D37">
        <f t="shared" si="0"/>
        <v>1.7270000000000001</v>
      </c>
      <c r="E37">
        <f t="shared" si="1"/>
        <v>7.5299999999999994</v>
      </c>
      <c r="F37">
        <f t="shared" si="2"/>
        <v>0.17270000000000002</v>
      </c>
      <c r="G37">
        <f t="shared" si="3"/>
        <v>0.753</v>
      </c>
      <c r="H37">
        <f t="shared" si="4"/>
        <v>129.53570740000001</v>
      </c>
      <c r="I37">
        <f t="shared" si="5"/>
        <v>564.79668600000002</v>
      </c>
      <c r="J37">
        <f t="shared" si="6"/>
        <v>74.904953292827258</v>
      </c>
      <c r="K37">
        <f t="shared" si="7"/>
        <v>1.3350251966524595E-2</v>
      </c>
      <c r="L37">
        <f t="shared" si="8"/>
        <v>-1.7561992938295041</v>
      </c>
    </row>
    <row r="38" spans="1:12" x14ac:dyDescent="0.3">
      <c r="A38">
        <v>1080</v>
      </c>
      <c r="B38">
        <v>1.819</v>
      </c>
      <c r="C38" s="1">
        <v>7.7889999999999997</v>
      </c>
      <c r="D38">
        <f t="shared" si="0"/>
        <v>1.8129999999999999</v>
      </c>
      <c r="E38">
        <f t="shared" si="1"/>
        <v>7.7829999999999995</v>
      </c>
      <c r="F38">
        <f t="shared" si="2"/>
        <v>0.18130000000000002</v>
      </c>
      <c r="G38">
        <f t="shared" si="3"/>
        <v>0.77829999999999999</v>
      </c>
      <c r="H38">
        <f t="shared" si="4"/>
        <v>135.9862406</v>
      </c>
      <c r="I38">
        <f t="shared" si="5"/>
        <v>583.77325459999997</v>
      </c>
      <c r="J38">
        <f t="shared" si="6"/>
        <v>75.168740618254176</v>
      </c>
      <c r="K38">
        <f t="shared" si="7"/>
        <v>1.3303402342185274E-2</v>
      </c>
      <c r="L38">
        <f t="shared" si="8"/>
        <v>-1.7076021612213317</v>
      </c>
    </row>
    <row r="39" spans="1:12" x14ac:dyDescent="0.3">
      <c r="A39">
        <v>1110</v>
      </c>
      <c r="B39">
        <v>1.903</v>
      </c>
      <c r="C39" s="1">
        <v>8.0470000000000006</v>
      </c>
      <c r="D39">
        <f t="shared" si="0"/>
        <v>1.897</v>
      </c>
      <c r="E39">
        <f t="shared" si="1"/>
        <v>8.0410000000000004</v>
      </c>
      <c r="F39">
        <f t="shared" si="2"/>
        <v>0.18970000000000001</v>
      </c>
      <c r="G39">
        <f t="shared" si="3"/>
        <v>0.80410000000000004</v>
      </c>
      <c r="H39">
        <f t="shared" si="4"/>
        <v>142.28676140000002</v>
      </c>
      <c r="I39">
        <f t="shared" si="5"/>
        <v>603.12485420000007</v>
      </c>
      <c r="J39">
        <f t="shared" si="6"/>
        <v>75.431094417641859</v>
      </c>
      <c r="K39">
        <f t="shared" si="7"/>
        <v>1.3257132323485413E-2</v>
      </c>
      <c r="L39">
        <f t="shared" si="8"/>
        <v>-1.6623114020411685</v>
      </c>
    </row>
    <row r="40" spans="1:12" x14ac:dyDescent="0.3">
      <c r="A40">
        <v>1140</v>
      </c>
      <c r="B40">
        <v>1.913</v>
      </c>
      <c r="C40" s="1">
        <v>8.3059999999999992</v>
      </c>
      <c r="D40">
        <f t="shared" si="0"/>
        <v>1.907</v>
      </c>
      <c r="E40">
        <f t="shared" si="1"/>
        <v>8.2999999999999989</v>
      </c>
      <c r="F40">
        <f t="shared" si="2"/>
        <v>0.19070000000000001</v>
      </c>
      <c r="G40">
        <f t="shared" si="3"/>
        <v>0.83</v>
      </c>
      <c r="H40">
        <f t="shared" si="4"/>
        <v>143.0368234</v>
      </c>
      <c r="I40">
        <f t="shared" si="5"/>
        <v>622.55146000000002</v>
      </c>
      <c r="J40">
        <f t="shared" si="6"/>
        <v>75.688099454152962</v>
      </c>
      <c r="K40">
        <f t="shared" si="7"/>
        <v>1.3212116663145129E-2</v>
      </c>
      <c r="L40">
        <f t="shared" si="8"/>
        <v>-1.6570537663757636</v>
      </c>
    </row>
    <row r="41" spans="1:12" x14ac:dyDescent="0.3">
      <c r="A41">
        <v>1170</v>
      </c>
      <c r="B41">
        <v>2.0659999999999998</v>
      </c>
      <c r="C41" s="1">
        <v>8.5579999999999998</v>
      </c>
      <c r="D41">
        <f t="shared" si="0"/>
        <v>2.06</v>
      </c>
      <c r="E41">
        <f t="shared" si="1"/>
        <v>8.5519999999999996</v>
      </c>
      <c r="F41">
        <f t="shared" si="2"/>
        <v>0.20600000000000002</v>
      </c>
      <c r="G41">
        <f t="shared" si="3"/>
        <v>0.85519999999999996</v>
      </c>
      <c r="H41">
        <f t="shared" si="4"/>
        <v>154.51277200000001</v>
      </c>
      <c r="I41">
        <f t="shared" si="5"/>
        <v>641.45302240000001</v>
      </c>
      <c r="J41">
        <f t="shared" si="6"/>
        <v>75.932374902602177</v>
      </c>
      <c r="K41">
        <f t="shared" si="7"/>
        <v>1.3169613110121889E-2</v>
      </c>
      <c r="L41">
        <f t="shared" si="8"/>
        <v>-1.579879110192556</v>
      </c>
    </row>
    <row r="42" spans="1:12" x14ac:dyDescent="0.3">
      <c r="A42">
        <v>1200</v>
      </c>
      <c r="B42">
        <v>2.153</v>
      </c>
      <c r="C42" s="1">
        <v>8.8109999999999999</v>
      </c>
      <c r="D42">
        <f t="shared" si="0"/>
        <v>2.1470000000000002</v>
      </c>
      <c r="E42">
        <f t="shared" si="1"/>
        <v>8.8049999999999997</v>
      </c>
      <c r="F42">
        <f t="shared" si="2"/>
        <v>0.21470000000000003</v>
      </c>
      <c r="G42">
        <f t="shared" si="3"/>
        <v>0.88050000000000006</v>
      </c>
      <c r="H42">
        <f t="shared" si="4"/>
        <v>161.03831140000003</v>
      </c>
      <c r="I42">
        <f t="shared" si="5"/>
        <v>660.42959100000007</v>
      </c>
      <c r="J42">
        <f t="shared" si="6"/>
        <v>76.172187045867375</v>
      </c>
      <c r="K42">
        <f t="shared" si="7"/>
        <v>1.312815134739201E-2</v>
      </c>
      <c r="L42">
        <f t="shared" si="8"/>
        <v>-1.5385135740974016</v>
      </c>
    </row>
    <row r="43" spans="1:12" x14ac:dyDescent="0.3">
      <c r="A43">
        <v>1230</v>
      </c>
      <c r="B43">
        <v>2.2469999999999999</v>
      </c>
      <c r="C43" s="1">
        <v>9.0649999999999995</v>
      </c>
      <c r="D43">
        <f t="shared" si="0"/>
        <v>2.2410000000000001</v>
      </c>
      <c r="E43">
        <f t="shared" si="1"/>
        <v>9.0589999999999993</v>
      </c>
      <c r="F43">
        <f t="shared" si="2"/>
        <v>0.22410000000000002</v>
      </c>
      <c r="G43">
        <f t="shared" si="3"/>
        <v>0.90589999999999993</v>
      </c>
      <c r="H43">
        <f t="shared" si="4"/>
        <v>168.08889420000003</v>
      </c>
      <c r="I43">
        <f t="shared" si="5"/>
        <v>679.48116579999999</v>
      </c>
      <c r="J43">
        <f t="shared" si="6"/>
        <v>76.407752722096831</v>
      </c>
      <c r="K43">
        <f t="shared" si="7"/>
        <v>1.3087677158064142E-2</v>
      </c>
      <c r="L43">
        <f t="shared" si="8"/>
        <v>-1.4956628981752556</v>
      </c>
    </row>
    <row r="44" spans="1:12" x14ac:dyDescent="0.3">
      <c r="A44">
        <v>1260</v>
      </c>
      <c r="B44">
        <v>2.3460000000000001</v>
      </c>
      <c r="C44" s="1">
        <v>9.3670000000000009</v>
      </c>
      <c r="D44">
        <f t="shared" si="0"/>
        <v>2.3400000000000003</v>
      </c>
      <c r="E44">
        <f t="shared" si="1"/>
        <v>9.3610000000000007</v>
      </c>
      <c r="F44">
        <f t="shared" si="2"/>
        <v>0.23400000000000004</v>
      </c>
      <c r="G44">
        <f t="shared" si="3"/>
        <v>0.93610000000000015</v>
      </c>
      <c r="H44">
        <f t="shared" si="4"/>
        <v>175.51450800000003</v>
      </c>
      <c r="I44">
        <f t="shared" si="5"/>
        <v>702.1330382000001</v>
      </c>
      <c r="J44">
        <f t="shared" si="6"/>
        <v>76.681421189111006</v>
      </c>
      <c r="K44">
        <f t="shared" si="7"/>
        <v>1.3040968522659607E-2</v>
      </c>
      <c r="L44">
        <f t="shared" si="8"/>
        <v>-1.4524341636244353</v>
      </c>
    </row>
    <row r="45" spans="1:12" x14ac:dyDescent="0.3">
      <c r="A45">
        <v>1290</v>
      </c>
      <c r="B45">
        <v>2.4380000000000002</v>
      </c>
      <c r="C45" s="1">
        <v>9.6280000000000001</v>
      </c>
      <c r="D45">
        <f t="shared" si="0"/>
        <v>2.4320000000000004</v>
      </c>
      <c r="E45">
        <f t="shared" si="1"/>
        <v>9.6219999999999999</v>
      </c>
      <c r="F45">
        <f t="shared" si="2"/>
        <v>0.24320000000000006</v>
      </c>
      <c r="G45">
        <f t="shared" si="3"/>
        <v>0.96220000000000006</v>
      </c>
      <c r="H45">
        <f t="shared" si="4"/>
        <v>182.41507840000006</v>
      </c>
      <c r="I45">
        <f t="shared" si="5"/>
        <v>721.70965640000009</v>
      </c>
      <c r="J45">
        <f t="shared" si="6"/>
        <v>76.912615581988618</v>
      </c>
      <c r="K45">
        <f t="shared" si="7"/>
        <v>1.3001768207115554E-2</v>
      </c>
      <c r="L45">
        <f t="shared" si="8"/>
        <v>-1.4138711288901249</v>
      </c>
    </row>
    <row r="46" spans="1:12" x14ac:dyDescent="0.3">
      <c r="A46">
        <v>1320</v>
      </c>
      <c r="B46">
        <v>2.528</v>
      </c>
      <c r="C46" s="1">
        <v>9.9009999999999998</v>
      </c>
      <c r="D46">
        <f t="shared" si="0"/>
        <v>2.5220000000000002</v>
      </c>
      <c r="E46">
        <f t="shared" si="1"/>
        <v>9.8949999999999996</v>
      </c>
      <c r="F46">
        <f t="shared" si="2"/>
        <v>0.25220000000000004</v>
      </c>
      <c r="G46">
        <f t="shared" si="3"/>
        <v>0.98950000000000005</v>
      </c>
      <c r="H46">
        <f t="shared" si="4"/>
        <v>189.16563640000004</v>
      </c>
      <c r="I46">
        <f t="shared" si="5"/>
        <v>742.18634900000006</v>
      </c>
      <c r="J46">
        <f t="shared" si="6"/>
        <v>77.149434478444661</v>
      </c>
      <c r="K46">
        <f t="shared" si="7"/>
        <v>1.2961857812183928E-2</v>
      </c>
      <c r="L46">
        <f t="shared" si="8"/>
        <v>-1.3775328554513178</v>
      </c>
    </row>
    <row r="47" spans="1:12" x14ac:dyDescent="0.3">
      <c r="A47">
        <v>1350</v>
      </c>
      <c r="B47">
        <v>2.621</v>
      </c>
      <c r="C47" s="1">
        <v>10.185</v>
      </c>
      <c r="D47">
        <f t="shared" si="0"/>
        <v>2.6150000000000002</v>
      </c>
      <c r="E47">
        <f t="shared" si="1"/>
        <v>10.179</v>
      </c>
      <c r="F47">
        <f t="shared" si="2"/>
        <v>0.26150000000000001</v>
      </c>
      <c r="G47">
        <f t="shared" si="3"/>
        <v>1.0179</v>
      </c>
      <c r="H47">
        <f t="shared" ref="H47" si="9">F47*750.062</f>
        <v>196.14121300000002</v>
      </c>
      <c r="I47">
        <f t="shared" ref="I47" si="10">G47*750.062</f>
        <v>763.48810980000007</v>
      </c>
      <c r="J47">
        <f t="shared" si="6"/>
        <v>77.390631733382307</v>
      </c>
      <c r="K47">
        <f t="shared" si="7"/>
        <v>1.2921460616125865E-2</v>
      </c>
      <c r="L47">
        <f t="shared" si="8"/>
        <v>-1.3413209954771594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Kuemmerle</dc:creator>
  <cp:lastModifiedBy>Elvis Gnaglo</cp:lastModifiedBy>
  <dcterms:created xsi:type="dcterms:W3CDTF">2025-12-10T07:03:51Z</dcterms:created>
  <dcterms:modified xsi:type="dcterms:W3CDTF">2025-12-15T22:46:23Z</dcterms:modified>
</cp:coreProperties>
</file>